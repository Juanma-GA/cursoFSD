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gutierrez3\Downloads\"/>
    </mc:Choice>
  </mc:AlternateContent>
  <xr:revisionPtr revIDLastSave="0" documentId="13_ncr:1_{87A64A77-6297-4223-8A11-B70AD88F63E6}" xr6:coauthVersionLast="47" xr6:coauthVersionMax="47" xr10:uidLastSave="{00000000-0000-0000-0000-000000000000}"/>
  <bookViews>
    <workbookView xWindow="-109" yWindow="-109" windowWidth="26301" windowHeight="15800" tabRatio="500" activeTab="1" xr2:uid="{00000000-000D-0000-FFFF-FFFF00000000}"/>
  </bookViews>
  <sheets>
    <sheet name="Plan de tareas" sheetId="1" r:id="rId1"/>
    <sheet name="Gant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8" i="1" l="1"/>
  <c r="B67" i="1"/>
  <c r="B69" i="1" s="1"/>
  <c r="I62" i="1"/>
  <c r="P61" i="2" s="1"/>
  <c r="I61" i="1"/>
  <c r="G60" i="2" s="1"/>
  <c r="I60" i="1"/>
  <c r="P59" i="2" s="1"/>
  <c r="I59" i="1"/>
  <c r="K58" i="2" s="1"/>
  <c r="I58" i="1"/>
  <c r="P57" i="2" s="1"/>
  <c r="I57" i="1"/>
  <c r="O56" i="2" s="1"/>
  <c r="I56" i="1"/>
  <c r="F55" i="2" s="1"/>
  <c r="I55" i="1"/>
  <c r="P54" i="2" s="1"/>
  <c r="I54" i="1"/>
  <c r="J53" i="2" s="1"/>
  <c r="I53" i="1"/>
  <c r="P52" i="2" s="1"/>
  <c r="I52" i="1"/>
  <c r="N51" i="2" s="1"/>
  <c r="I51" i="1"/>
  <c r="E50" i="2" s="1"/>
  <c r="I50" i="1"/>
  <c r="P49" i="2" s="1"/>
  <c r="I49" i="1"/>
  <c r="I48" i="2" s="1"/>
  <c r="I48" i="1"/>
  <c r="P47" i="2" s="1"/>
  <c r="I47" i="1"/>
  <c r="M46" i="2" s="1"/>
  <c r="I46" i="1"/>
  <c r="D45" i="2" s="1"/>
  <c r="I45" i="1"/>
  <c r="P44" i="2" s="1"/>
  <c r="I44" i="1"/>
  <c r="H43" i="2" s="1"/>
  <c r="I43" i="1"/>
  <c r="P42" i="2" s="1"/>
  <c r="I42" i="1"/>
  <c r="L41" i="2" s="1"/>
  <c r="I41" i="1"/>
  <c r="P40" i="2" s="1"/>
  <c r="I40" i="1"/>
  <c r="P39" i="2" s="1"/>
  <c r="I39" i="1"/>
  <c r="G38" i="2" s="1"/>
  <c r="I38" i="1"/>
  <c r="P37" i="2" s="1"/>
  <c r="I37" i="1"/>
  <c r="K36" i="2" s="1"/>
  <c r="I36" i="1"/>
  <c r="P35" i="2" s="1"/>
  <c r="I35" i="1"/>
  <c r="O34" i="2" s="1"/>
  <c r="I34" i="1"/>
  <c r="F33" i="2" s="1"/>
  <c r="I33" i="1"/>
  <c r="P32" i="2" s="1"/>
  <c r="I32" i="1"/>
  <c r="J31" i="2" s="1"/>
  <c r="I31" i="1"/>
  <c r="P30" i="2" s="1"/>
  <c r="I30" i="1"/>
  <c r="N29" i="2" s="1"/>
  <c r="I29" i="1"/>
  <c r="E28" i="2" s="1"/>
  <c r="I28" i="1"/>
  <c r="P27" i="2" s="1"/>
  <c r="I27" i="1"/>
  <c r="I26" i="2" s="1"/>
  <c r="I26" i="1"/>
  <c r="P25" i="2" s="1"/>
  <c r="I25" i="1"/>
  <c r="M24" i="2" s="1"/>
  <c r="I24" i="1"/>
  <c r="D23" i="2" s="1"/>
  <c r="I23" i="1"/>
  <c r="P22" i="2" s="1"/>
  <c r="I22" i="1"/>
  <c r="H21" i="2" s="1"/>
  <c r="I21" i="1"/>
  <c r="P20" i="2" s="1"/>
  <c r="I20" i="1"/>
  <c r="L19" i="2" s="1"/>
  <c r="I19" i="1"/>
  <c r="P18" i="2" s="1"/>
  <c r="I18" i="1"/>
  <c r="P17" i="2" s="1"/>
  <c r="I17" i="1"/>
  <c r="G16" i="2" s="1"/>
  <c r="I16" i="1"/>
  <c r="P15" i="2" s="1"/>
  <c r="I15" i="1"/>
  <c r="K14" i="2" s="1"/>
  <c r="I14" i="1"/>
  <c r="P13" i="2" s="1"/>
  <c r="I13" i="1"/>
  <c r="O12" i="2" s="1"/>
  <c r="I12" i="1"/>
  <c r="F11" i="2" s="1"/>
  <c r="I11" i="1"/>
  <c r="P10" i="2" s="1"/>
  <c r="I10" i="1"/>
  <c r="J9" i="2" s="1"/>
  <c r="I9" i="1"/>
  <c r="P8" i="2" s="1"/>
  <c r="I8" i="1"/>
  <c r="N7" i="2" s="1"/>
  <c r="I7" i="1"/>
  <c r="E6" i="2" s="1"/>
  <c r="I6" i="1"/>
  <c r="P5" i="2" s="1"/>
  <c r="I5" i="1"/>
  <c r="I4" i="2" s="1"/>
  <c r="J4" i="2" l="1"/>
  <c r="F6" i="2"/>
  <c r="O7" i="2"/>
  <c r="K9" i="2"/>
  <c r="G11" i="2"/>
  <c r="P12" i="2"/>
  <c r="L14" i="2"/>
  <c r="H16" i="2"/>
  <c r="D18" i="2"/>
  <c r="M19" i="2"/>
  <c r="I21" i="2"/>
  <c r="E23" i="2"/>
  <c r="N24" i="2"/>
  <c r="J26" i="2"/>
  <c r="F28" i="2"/>
  <c r="O29" i="2"/>
  <c r="K31" i="2"/>
  <c r="G33" i="2"/>
  <c r="P34" i="2"/>
  <c r="L36" i="2"/>
  <c r="H38" i="2"/>
  <c r="D40" i="2"/>
  <c r="M41" i="2"/>
  <c r="I43" i="2"/>
  <c r="E45" i="2"/>
  <c r="N46" i="2"/>
  <c r="J48" i="2"/>
  <c r="F50" i="2"/>
  <c r="O51" i="2"/>
  <c r="K53" i="2"/>
  <c r="G55" i="2"/>
  <c r="P56" i="2"/>
  <c r="L58" i="2"/>
  <c r="H60" i="2"/>
  <c r="K4" i="2"/>
  <c r="G6" i="2"/>
  <c r="P7" i="2"/>
  <c r="L9" i="2"/>
  <c r="H11" i="2"/>
  <c r="D13" i="2"/>
  <c r="M14" i="2"/>
  <c r="I16" i="2"/>
  <c r="E18" i="2"/>
  <c r="N19" i="2"/>
  <c r="J21" i="2"/>
  <c r="F23" i="2"/>
  <c r="O24" i="2"/>
  <c r="K26" i="2"/>
  <c r="G28" i="2"/>
  <c r="P29" i="2"/>
  <c r="L31" i="2"/>
  <c r="H33" i="2"/>
  <c r="D35" i="2"/>
  <c r="M36" i="2"/>
  <c r="I38" i="2"/>
  <c r="E40" i="2"/>
  <c r="N41" i="2"/>
  <c r="J43" i="2"/>
  <c r="F45" i="2"/>
  <c r="O46" i="2"/>
  <c r="K48" i="2"/>
  <c r="G50" i="2"/>
  <c r="P51" i="2"/>
  <c r="L53" i="2"/>
  <c r="H55" i="2"/>
  <c r="D57" i="2"/>
  <c r="M58" i="2"/>
  <c r="I60" i="2"/>
  <c r="L4" i="2"/>
  <c r="H6" i="2"/>
  <c r="D8" i="2"/>
  <c r="M9" i="2"/>
  <c r="I11" i="2"/>
  <c r="E13" i="2"/>
  <c r="N14" i="2"/>
  <c r="J16" i="2"/>
  <c r="F18" i="2"/>
  <c r="O19" i="2"/>
  <c r="K21" i="2"/>
  <c r="G23" i="2"/>
  <c r="P24" i="2"/>
  <c r="L26" i="2"/>
  <c r="H28" i="2"/>
  <c r="D30" i="2"/>
  <c r="M31" i="2"/>
  <c r="I33" i="2"/>
  <c r="E35" i="2"/>
  <c r="N36" i="2"/>
  <c r="J38" i="2"/>
  <c r="F40" i="2"/>
  <c r="O41" i="2"/>
  <c r="K43" i="2"/>
  <c r="G45" i="2"/>
  <c r="P46" i="2"/>
  <c r="L48" i="2"/>
  <c r="H50" i="2"/>
  <c r="D52" i="2"/>
  <c r="M53" i="2"/>
  <c r="I55" i="2"/>
  <c r="E57" i="2"/>
  <c r="N58" i="2"/>
  <c r="J60" i="2"/>
  <c r="M4" i="2"/>
  <c r="I6" i="2"/>
  <c r="E8" i="2"/>
  <c r="N9" i="2"/>
  <c r="J11" i="2"/>
  <c r="F13" i="2"/>
  <c r="O14" i="2"/>
  <c r="K16" i="2"/>
  <c r="G18" i="2"/>
  <c r="P19" i="2"/>
  <c r="L21" i="2"/>
  <c r="H23" i="2"/>
  <c r="D25" i="2"/>
  <c r="M26" i="2"/>
  <c r="I28" i="2"/>
  <c r="E30" i="2"/>
  <c r="N31" i="2"/>
  <c r="J33" i="2"/>
  <c r="F35" i="2"/>
  <c r="O36" i="2"/>
  <c r="K38" i="2"/>
  <c r="G40" i="2"/>
  <c r="P41" i="2"/>
  <c r="L43" i="2"/>
  <c r="H45" i="2"/>
  <c r="D47" i="2"/>
  <c r="M48" i="2"/>
  <c r="I50" i="2"/>
  <c r="E52" i="2"/>
  <c r="N53" i="2"/>
  <c r="J55" i="2"/>
  <c r="F57" i="2"/>
  <c r="O58" i="2"/>
  <c r="K60" i="2"/>
  <c r="N4" i="2"/>
  <c r="J6" i="2"/>
  <c r="F8" i="2"/>
  <c r="O9" i="2"/>
  <c r="K11" i="2"/>
  <c r="G13" i="2"/>
  <c r="P14" i="2"/>
  <c r="L16" i="2"/>
  <c r="H18" i="2"/>
  <c r="D20" i="2"/>
  <c r="M21" i="2"/>
  <c r="I23" i="2"/>
  <c r="E25" i="2"/>
  <c r="N26" i="2"/>
  <c r="J28" i="2"/>
  <c r="F30" i="2"/>
  <c r="O31" i="2"/>
  <c r="K33" i="2"/>
  <c r="G35" i="2"/>
  <c r="P36" i="2"/>
  <c r="L38" i="2"/>
  <c r="H40" i="2"/>
  <c r="D42" i="2"/>
  <c r="M43" i="2"/>
  <c r="I45" i="2"/>
  <c r="E47" i="2"/>
  <c r="N48" i="2"/>
  <c r="J50" i="2"/>
  <c r="F52" i="2"/>
  <c r="O53" i="2"/>
  <c r="K55" i="2"/>
  <c r="G57" i="2"/>
  <c r="P58" i="2"/>
  <c r="L60" i="2"/>
  <c r="O4" i="2"/>
  <c r="K6" i="2"/>
  <c r="G8" i="2"/>
  <c r="P9" i="2"/>
  <c r="L11" i="2"/>
  <c r="H13" i="2"/>
  <c r="D15" i="2"/>
  <c r="M16" i="2"/>
  <c r="I18" i="2"/>
  <c r="E20" i="2"/>
  <c r="N21" i="2"/>
  <c r="J23" i="2"/>
  <c r="F25" i="2"/>
  <c r="O26" i="2"/>
  <c r="K28" i="2"/>
  <c r="G30" i="2"/>
  <c r="P31" i="2"/>
  <c r="L33" i="2"/>
  <c r="H35" i="2"/>
  <c r="D37" i="2"/>
  <c r="M38" i="2"/>
  <c r="I40" i="2"/>
  <c r="E42" i="2"/>
  <c r="N43" i="2"/>
  <c r="J45" i="2"/>
  <c r="F47" i="2"/>
  <c r="O48" i="2"/>
  <c r="K50" i="2"/>
  <c r="G52" i="2"/>
  <c r="P53" i="2"/>
  <c r="L55" i="2"/>
  <c r="H57" i="2"/>
  <c r="D59" i="2"/>
  <c r="M60" i="2"/>
  <c r="P4" i="2"/>
  <c r="L6" i="2"/>
  <c r="H8" i="2"/>
  <c r="D10" i="2"/>
  <c r="M11" i="2"/>
  <c r="I13" i="2"/>
  <c r="E15" i="2"/>
  <c r="N16" i="2"/>
  <c r="J18" i="2"/>
  <c r="F20" i="2"/>
  <c r="O21" i="2"/>
  <c r="K23" i="2"/>
  <c r="G25" i="2"/>
  <c r="P26" i="2"/>
  <c r="L28" i="2"/>
  <c r="H30" i="2"/>
  <c r="D32" i="2"/>
  <c r="M33" i="2"/>
  <c r="I35" i="2"/>
  <c r="E37" i="2"/>
  <c r="N38" i="2"/>
  <c r="J40" i="2"/>
  <c r="F42" i="2"/>
  <c r="O43" i="2"/>
  <c r="K45" i="2"/>
  <c r="G47" i="2"/>
  <c r="P48" i="2"/>
  <c r="L50" i="2"/>
  <c r="H52" i="2"/>
  <c r="D54" i="2"/>
  <c r="M55" i="2"/>
  <c r="I57" i="2"/>
  <c r="E59" i="2"/>
  <c r="N60" i="2"/>
  <c r="D5" i="2"/>
  <c r="M6" i="2"/>
  <c r="I8" i="2"/>
  <c r="E10" i="2"/>
  <c r="N11" i="2"/>
  <c r="J13" i="2"/>
  <c r="F15" i="2"/>
  <c r="O16" i="2"/>
  <c r="K18" i="2"/>
  <c r="G20" i="2"/>
  <c r="P21" i="2"/>
  <c r="L23" i="2"/>
  <c r="H25" i="2"/>
  <c r="D27" i="2"/>
  <c r="M28" i="2"/>
  <c r="I30" i="2"/>
  <c r="E32" i="2"/>
  <c r="N33" i="2"/>
  <c r="J35" i="2"/>
  <c r="F37" i="2"/>
  <c r="O38" i="2"/>
  <c r="K40" i="2"/>
  <c r="G42" i="2"/>
  <c r="P43" i="2"/>
  <c r="L45" i="2"/>
  <c r="H47" i="2"/>
  <c r="D49" i="2"/>
  <c r="M50" i="2"/>
  <c r="I52" i="2"/>
  <c r="E54" i="2"/>
  <c r="N55" i="2"/>
  <c r="J57" i="2"/>
  <c r="F59" i="2"/>
  <c r="O60" i="2"/>
  <c r="E5" i="2"/>
  <c r="N6" i="2"/>
  <c r="J8" i="2"/>
  <c r="F10" i="2"/>
  <c r="O11" i="2"/>
  <c r="K13" i="2"/>
  <c r="G15" i="2"/>
  <c r="P16" i="2"/>
  <c r="L18" i="2"/>
  <c r="H20" i="2"/>
  <c r="D22" i="2"/>
  <c r="M23" i="2"/>
  <c r="I25" i="2"/>
  <c r="E27" i="2"/>
  <c r="N28" i="2"/>
  <c r="J30" i="2"/>
  <c r="F32" i="2"/>
  <c r="O33" i="2"/>
  <c r="K35" i="2"/>
  <c r="G37" i="2"/>
  <c r="P38" i="2"/>
  <c r="L40" i="2"/>
  <c r="H42" i="2"/>
  <c r="D44" i="2"/>
  <c r="M45" i="2"/>
  <c r="I47" i="2"/>
  <c r="E49" i="2"/>
  <c r="N50" i="2"/>
  <c r="J52" i="2"/>
  <c r="F54" i="2"/>
  <c r="O55" i="2"/>
  <c r="K57" i="2"/>
  <c r="G59" i="2"/>
  <c r="P60" i="2"/>
  <c r="F5" i="2"/>
  <c r="O6" i="2"/>
  <c r="K8" i="2"/>
  <c r="G10" i="2"/>
  <c r="P11" i="2"/>
  <c r="L13" i="2"/>
  <c r="H15" i="2"/>
  <c r="D17" i="2"/>
  <c r="M18" i="2"/>
  <c r="I20" i="2"/>
  <c r="E22" i="2"/>
  <c r="N23" i="2"/>
  <c r="J25" i="2"/>
  <c r="F27" i="2"/>
  <c r="O28" i="2"/>
  <c r="K30" i="2"/>
  <c r="G32" i="2"/>
  <c r="P33" i="2"/>
  <c r="L35" i="2"/>
  <c r="H37" i="2"/>
  <c r="D39" i="2"/>
  <c r="M40" i="2"/>
  <c r="I42" i="2"/>
  <c r="E44" i="2"/>
  <c r="N45" i="2"/>
  <c r="J47" i="2"/>
  <c r="F49" i="2"/>
  <c r="O50" i="2"/>
  <c r="K52" i="2"/>
  <c r="G54" i="2"/>
  <c r="P55" i="2"/>
  <c r="L57" i="2"/>
  <c r="H59" i="2"/>
  <c r="D61" i="2"/>
  <c r="G5" i="2"/>
  <c r="P6" i="2"/>
  <c r="L8" i="2"/>
  <c r="H10" i="2"/>
  <c r="D12" i="2"/>
  <c r="M13" i="2"/>
  <c r="I15" i="2"/>
  <c r="E17" i="2"/>
  <c r="N18" i="2"/>
  <c r="J20" i="2"/>
  <c r="F22" i="2"/>
  <c r="O23" i="2"/>
  <c r="K25" i="2"/>
  <c r="G27" i="2"/>
  <c r="P28" i="2"/>
  <c r="L30" i="2"/>
  <c r="H32" i="2"/>
  <c r="D34" i="2"/>
  <c r="M35" i="2"/>
  <c r="I37" i="2"/>
  <c r="E39" i="2"/>
  <c r="N40" i="2"/>
  <c r="J42" i="2"/>
  <c r="F44" i="2"/>
  <c r="O45" i="2"/>
  <c r="K47" i="2"/>
  <c r="G49" i="2"/>
  <c r="P50" i="2"/>
  <c r="L52" i="2"/>
  <c r="H54" i="2"/>
  <c r="D56" i="2"/>
  <c r="M57" i="2"/>
  <c r="I59" i="2"/>
  <c r="E61" i="2"/>
  <c r="H5" i="2"/>
  <c r="D7" i="2"/>
  <c r="M8" i="2"/>
  <c r="I10" i="2"/>
  <c r="E12" i="2"/>
  <c r="N13" i="2"/>
  <c r="J15" i="2"/>
  <c r="F17" i="2"/>
  <c r="O18" i="2"/>
  <c r="K20" i="2"/>
  <c r="G22" i="2"/>
  <c r="P23" i="2"/>
  <c r="L25" i="2"/>
  <c r="H27" i="2"/>
  <c r="D29" i="2"/>
  <c r="M30" i="2"/>
  <c r="I32" i="2"/>
  <c r="E34" i="2"/>
  <c r="N35" i="2"/>
  <c r="J37" i="2"/>
  <c r="F39" i="2"/>
  <c r="O40" i="2"/>
  <c r="K42" i="2"/>
  <c r="G44" i="2"/>
  <c r="P45" i="2"/>
  <c r="L47" i="2"/>
  <c r="H49" i="2"/>
  <c r="D51" i="2"/>
  <c r="M52" i="2"/>
  <c r="I54" i="2"/>
  <c r="E56" i="2"/>
  <c r="N57" i="2"/>
  <c r="J59" i="2"/>
  <c r="F61" i="2"/>
  <c r="I5" i="2"/>
  <c r="E7" i="2"/>
  <c r="N8" i="2"/>
  <c r="J10" i="2"/>
  <c r="F12" i="2"/>
  <c r="O13" i="2"/>
  <c r="K15" i="2"/>
  <c r="G17" i="2"/>
  <c r="L20" i="2"/>
  <c r="H22" i="2"/>
  <c r="D24" i="2"/>
  <c r="M25" i="2"/>
  <c r="I27" i="2"/>
  <c r="E29" i="2"/>
  <c r="N30" i="2"/>
  <c r="J32" i="2"/>
  <c r="F34" i="2"/>
  <c r="O35" i="2"/>
  <c r="K37" i="2"/>
  <c r="G39" i="2"/>
  <c r="L42" i="2"/>
  <c r="H44" i="2"/>
  <c r="D46" i="2"/>
  <c r="M47" i="2"/>
  <c r="I49" i="2"/>
  <c r="E51" i="2"/>
  <c r="N52" i="2"/>
  <c r="J54" i="2"/>
  <c r="F56" i="2"/>
  <c r="O57" i="2"/>
  <c r="K59" i="2"/>
  <c r="G61" i="2"/>
  <c r="J5" i="2"/>
  <c r="F7" i="2"/>
  <c r="O8" i="2"/>
  <c r="K10" i="2"/>
  <c r="G12" i="2"/>
  <c r="L15" i="2"/>
  <c r="H17" i="2"/>
  <c r="D19" i="2"/>
  <c r="M20" i="2"/>
  <c r="I22" i="2"/>
  <c r="E24" i="2"/>
  <c r="N25" i="2"/>
  <c r="J27" i="2"/>
  <c r="F29" i="2"/>
  <c r="O30" i="2"/>
  <c r="K32" i="2"/>
  <c r="G34" i="2"/>
  <c r="L37" i="2"/>
  <c r="H39" i="2"/>
  <c r="D41" i="2"/>
  <c r="M42" i="2"/>
  <c r="I44" i="2"/>
  <c r="E46" i="2"/>
  <c r="N47" i="2"/>
  <c r="J49" i="2"/>
  <c r="F51" i="2"/>
  <c r="O52" i="2"/>
  <c r="K54" i="2"/>
  <c r="G56" i="2"/>
  <c r="L59" i="2"/>
  <c r="H61" i="2"/>
  <c r="K5" i="2"/>
  <c r="G7" i="2"/>
  <c r="L10" i="2"/>
  <c r="H12" i="2"/>
  <c r="D14" i="2"/>
  <c r="M15" i="2"/>
  <c r="I17" i="2"/>
  <c r="E19" i="2"/>
  <c r="N20" i="2"/>
  <c r="J22" i="2"/>
  <c r="F24" i="2"/>
  <c r="O25" i="2"/>
  <c r="K27" i="2"/>
  <c r="G29" i="2"/>
  <c r="L32" i="2"/>
  <c r="H34" i="2"/>
  <c r="D36" i="2"/>
  <c r="M37" i="2"/>
  <c r="I39" i="2"/>
  <c r="E41" i="2"/>
  <c r="N42" i="2"/>
  <c r="J44" i="2"/>
  <c r="F46" i="2"/>
  <c r="O47" i="2"/>
  <c r="K49" i="2"/>
  <c r="G51" i="2"/>
  <c r="L54" i="2"/>
  <c r="H56" i="2"/>
  <c r="D58" i="2"/>
  <c r="M59" i="2"/>
  <c r="I61" i="2"/>
  <c r="L5" i="2"/>
  <c r="H7" i="2"/>
  <c r="D9" i="2"/>
  <c r="M10" i="2"/>
  <c r="I12" i="2"/>
  <c r="E14" i="2"/>
  <c r="N15" i="2"/>
  <c r="J17" i="2"/>
  <c r="F19" i="2"/>
  <c r="O20" i="2"/>
  <c r="K22" i="2"/>
  <c r="G24" i="2"/>
  <c r="L27" i="2"/>
  <c r="H29" i="2"/>
  <c r="D31" i="2"/>
  <c r="M32" i="2"/>
  <c r="I34" i="2"/>
  <c r="E36" i="2"/>
  <c r="N37" i="2"/>
  <c r="J39" i="2"/>
  <c r="F41" i="2"/>
  <c r="O42" i="2"/>
  <c r="K44" i="2"/>
  <c r="G46" i="2"/>
  <c r="L49" i="2"/>
  <c r="H51" i="2"/>
  <c r="D53" i="2"/>
  <c r="M54" i="2"/>
  <c r="I56" i="2"/>
  <c r="E58" i="2"/>
  <c r="N59" i="2"/>
  <c r="J61" i="2"/>
  <c r="D4" i="2"/>
  <c r="M5" i="2"/>
  <c r="I7" i="2"/>
  <c r="E9" i="2"/>
  <c r="N10" i="2"/>
  <c r="J12" i="2"/>
  <c r="F14" i="2"/>
  <c r="O15" i="2"/>
  <c r="K17" i="2"/>
  <c r="G19" i="2"/>
  <c r="L22" i="2"/>
  <c r="H24" i="2"/>
  <c r="D26" i="2"/>
  <c r="M27" i="2"/>
  <c r="I29" i="2"/>
  <c r="E31" i="2"/>
  <c r="N32" i="2"/>
  <c r="J34" i="2"/>
  <c r="F36" i="2"/>
  <c r="O37" i="2"/>
  <c r="K39" i="2"/>
  <c r="G41" i="2"/>
  <c r="L44" i="2"/>
  <c r="H46" i="2"/>
  <c r="D48" i="2"/>
  <c r="M49" i="2"/>
  <c r="I51" i="2"/>
  <c r="E53" i="2"/>
  <c r="N54" i="2"/>
  <c r="J56" i="2"/>
  <c r="F58" i="2"/>
  <c r="O59" i="2"/>
  <c r="K61" i="2"/>
  <c r="E4" i="2"/>
  <c r="N5" i="2"/>
  <c r="J7" i="2"/>
  <c r="F9" i="2"/>
  <c r="O10" i="2"/>
  <c r="K12" i="2"/>
  <c r="G14" i="2"/>
  <c r="L17" i="2"/>
  <c r="H19" i="2"/>
  <c r="D21" i="2"/>
  <c r="M22" i="2"/>
  <c r="I24" i="2"/>
  <c r="E26" i="2"/>
  <c r="N27" i="2"/>
  <c r="J29" i="2"/>
  <c r="F31" i="2"/>
  <c r="O32" i="2"/>
  <c r="K34" i="2"/>
  <c r="G36" i="2"/>
  <c r="L39" i="2"/>
  <c r="H41" i="2"/>
  <c r="D43" i="2"/>
  <c r="M44" i="2"/>
  <c r="I46" i="2"/>
  <c r="E48" i="2"/>
  <c r="N49" i="2"/>
  <c r="J51" i="2"/>
  <c r="F53" i="2"/>
  <c r="O54" i="2"/>
  <c r="K56" i="2"/>
  <c r="G58" i="2"/>
  <c r="L61" i="2"/>
  <c r="F4" i="2"/>
  <c r="O5" i="2"/>
  <c r="K7" i="2"/>
  <c r="G9" i="2"/>
  <c r="L12" i="2"/>
  <c r="H14" i="2"/>
  <c r="D16" i="2"/>
  <c r="M17" i="2"/>
  <c r="I19" i="2"/>
  <c r="E21" i="2"/>
  <c r="N22" i="2"/>
  <c r="J24" i="2"/>
  <c r="F26" i="2"/>
  <c r="O27" i="2"/>
  <c r="K29" i="2"/>
  <c r="G31" i="2"/>
  <c r="L34" i="2"/>
  <c r="H36" i="2"/>
  <c r="D38" i="2"/>
  <c r="M39" i="2"/>
  <c r="I41" i="2"/>
  <c r="E43" i="2"/>
  <c r="N44" i="2"/>
  <c r="J46" i="2"/>
  <c r="F48" i="2"/>
  <c r="O49" i="2"/>
  <c r="K51" i="2"/>
  <c r="G53" i="2"/>
  <c r="L56" i="2"/>
  <c r="H58" i="2"/>
  <c r="D60" i="2"/>
  <c r="M61" i="2"/>
  <c r="G4" i="2"/>
  <c r="L7" i="2"/>
  <c r="H9" i="2"/>
  <c r="D11" i="2"/>
  <c r="M12" i="2"/>
  <c r="I14" i="2"/>
  <c r="E16" i="2"/>
  <c r="N17" i="2"/>
  <c r="J19" i="2"/>
  <c r="F21" i="2"/>
  <c r="O22" i="2"/>
  <c r="K24" i="2"/>
  <c r="G26" i="2"/>
  <c r="L29" i="2"/>
  <c r="H31" i="2"/>
  <c r="D33" i="2"/>
  <c r="M34" i="2"/>
  <c r="I36" i="2"/>
  <c r="E38" i="2"/>
  <c r="N39" i="2"/>
  <c r="J41" i="2"/>
  <c r="F43" i="2"/>
  <c r="O44" i="2"/>
  <c r="K46" i="2"/>
  <c r="G48" i="2"/>
  <c r="L51" i="2"/>
  <c r="H53" i="2"/>
  <c r="D55" i="2"/>
  <c r="M56" i="2"/>
  <c r="I58" i="2"/>
  <c r="E60" i="2"/>
  <c r="N61" i="2"/>
  <c r="H4" i="2"/>
  <c r="D6" i="2"/>
  <c r="M7" i="2"/>
  <c r="I9" i="2"/>
  <c r="E11" i="2"/>
  <c r="N12" i="2"/>
  <c r="J14" i="2"/>
  <c r="F16" i="2"/>
  <c r="O17" i="2"/>
  <c r="K19" i="2"/>
  <c r="G21" i="2"/>
  <c r="L24" i="2"/>
  <c r="H26" i="2"/>
  <c r="D28" i="2"/>
  <c r="M29" i="2"/>
  <c r="I31" i="2"/>
  <c r="E33" i="2"/>
  <c r="N34" i="2"/>
  <c r="J36" i="2"/>
  <c r="F38" i="2"/>
  <c r="O39" i="2"/>
  <c r="K41" i="2"/>
  <c r="G43" i="2"/>
  <c r="L46" i="2"/>
  <c r="H48" i="2"/>
  <c r="D50" i="2"/>
  <c r="M51" i="2"/>
  <c r="I53" i="2"/>
  <c r="E55" i="2"/>
  <c r="N56" i="2"/>
  <c r="J58" i="2"/>
  <c r="F60" i="2"/>
  <c r="O61" i="2"/>
</calcChain>
</file>

<file path=xl/sharedStrings.xml><?xml version="1.0" encoding="utf-8"?>
<sst xmlns="http://schemas.openxmlformats.org/spreadsheetml/2006/main" count="608" uniqueCount="189">
  <si>
    <t>Plan de tareas — Proyecto CCMS Nav (Navantia)</t>
  </si>
  <si>
    <t>Perfiles: Full Stack Developer (decisiones importantes + backend/infra/tests) · UX/ILS Specialist (frontend) — misma persona, dos roles separados en el plan.</t>
  </si>
  <si>
    <t>ID</t>
  </si>
  <si>
    <t>Tarea</t>
  </si>
  <si>
    <t>Bloque</t>
  </si>
  <si>
    <t>Perfil</t>
  </si>
  <si>
    <t>Duración (días hábiles)</t>
  </si>
  <si>
    <t>Depende de</t>
  </si>
  <si>
    <t>¿Paralelizable?</t>
  </si>
  <si>
    <t>Fecha inicio</t>
  </si>
  <si>
    <t>Fecha fin</t>
  </si>
  <si>
    <t>Notas / bloqueos</t>
  </si>
  <si>
    <t>A1</t>
  </si>
  <si>
    <t>Solicitar a Navantia el protocolo de su IdP (SAML/ADFS u OIDC/Azure AD)</t>
  </si>
  <si>
    <t>A - Decisiones externas</t>
  </si>
  <si>
    <t>Full Stack Developer</t>
  </si>
  <si>
    <t>—</t>
  </si>
  <si>
    <t>Sí</t>
  </si>
  <si>
    <t>Bloquea T-B8 y la cobertura completa de test_auth_federacion.py.</t>
  </si>
  <si>
    <t>A2</t>
  </si>
  <si>
    <t>Solicitar a seguridad/compliance ATEXIS: tier aacf, guardrails, restricciones onshore/offshore, suficiencia del aislamiento por proyecto</t>
  </si>
  <si>
    <t>Riesgo abierto de alta prioridad. No bloquea el build.</t>
  </si>
  <si>
    <t>A3</t>
  </si>
  <si>
    <t>Cerrar con negocio/Navantia la lista definitiva de roles RBAC</t>
  </si>
  <si>
    <t>No bloquea T-B4 (roles provisionales); repoblar catálogo cuando cierre.</t>
  </si>
  <si>
    <t>A4</t>
  </si>
  <si>
    <t>Confirmar alcance del worker de publicación: ¿RenderX + Compositor S80, o solo Compositor S80?</t>
  </si>
  <si>
    <t>Bloquea T-D12.</t>
  </si>
  <si>
    <t>A5</t>
  </si>
  <si>
    <t>Decidir si se activa eXist-db en este build o se pospone</t>
  </si>
  <si>
    <t>Si es 'sí', añade T-H1 al plan.</t>
  </si>
  <si>
    <t>EDASH</t>
  </si>
  <si>
    <t>Resolver qué servicio(s) alimentan Dashboard/Inicio (vacío documental) — decisión, no build</t>
  </si>
  <si>
    <t>E-0 - Base (arranca en paralelo)</t>
  </si>
  <si>
    <t>Aunque está en el bloque de frontend, es una decisión de arquitectura: la resuelve el FSD, no el UX/ILS.</t>
  </si>
  <si>
    <t>B1</t>
  </si>
  <si>
    <t>docker-compose.yml real + .env dev (PostgreSQL + OpenSearch)</t>
  </si>
  <si>
    <t>B - Infraestructura y core</t>
  </si>
  <si>
    <t>No</t>
  </si>
  <si>
    <t>B2</t>
  </si>
  <si>
    <t>Aplicar el esquema de PostgreSQL completo</t>
  </si>
  <si>
    <t>B3</t>
  </si>
  <si>
    <t>core/config.py</t>
  </si>
  <si>
    <t>B4</t>
  </si>
  <si>
    <t>Catálogo RBAC: tablas + datos semilla provisionales</t>
  </si>
  <si>
    <t>B5</t>
  </si>
  <si>
    <t>core/seguridad.py — dependencia FastAPI de JWT + RBAC</t>
  </si>
  <si>
    <t>B6</t>
  </si>
  <si>
    <t>core/proyecto_context.py — dependencia FastAPI de aislamiento multi-proyecto/cliente</t>
  </si>
  <si>
    <t>La pieza más crítica del proyecto.</t>
  </si>
  <si>
    <t>B7</t>
  </si>
  <si>
    <t>auth/federacion.py + adaptador IdP ATEXIS/Keycloak</t>
  </si>
  <si>
    <t>CHK-B</t>
  </si>
  <si>
    <t>VERIFICACIÓN: JWT + aislamiento de proyecto bloquean peticiones de prueba correctamente</t>
  </si>
  <si>
    <t>B6, B7</t>
  </si>
  <si>
    <t>A partir de aquí, Login.tsx puede empezar a construirse en paralelo.</t>
  </si>
  <si>
    <t>B8</t>
  </si>
  <si>
    <t>Adaptador IdP Navantia (SAML u OIDC, según T-A1)</t>
  </si>
  <si>
    <t>A1, B7</t>
  </si>
  <si>
    <t>BLOQUEADO hasta que T-A1 tenga respuesta.</t>
  </si>
  <si>
    <t>C1</t>
  </si>
  <si>
    <t>models/ — clases SQLAlchemy de todas las tablas</t>
  </si>
  <si>
    <t>C - Capa de datos</t>
  </si>
  <si>
    <t>C2</t>
  </si>
  <si>
    <t>storage/ — 13 módulos de acceso a datos</t>
  </si>
  <si>
    <t>C3</t>
  </si>
  <si>
    <t>validacion/ — DTD/XSD 1.3, Schematron, integridad referencial</t>
  </si>
  <si>
    <t>CHK-C</t>
  </si>
  <si>
    <t>VERIFICACIÓN: conexión end-to-end a PostgreSQL confirmada por cada módulo de storage/</t>
  </si>
  <si>
    <t>D1</t>
  </si>
  <si>
    <t>proyectos_service.py + router</t>
  </si>
  <si>
    <t>D-I - Fundación CRUD</t>
  </si>
  <si>
    <t>D2</t>
  </si>
  <si>
    <t>contenido_service.py + bookmap_service.py + routers</t>
  </si>
  <si>
    <t>D3</t>
  </si>
  <si>
    <t>checkout_service.py + router</t>
  </si>
  <si>
    <t>CHK-D1</t>
  </si>
  <si>
    <t>VERIFICACIÓN (Swagger/curl): CRUD de proyectos/contenido + checkout/checkin reales</t>
  </si>
  <si>
    <t>A partir de aquí, Proyectos.tsx/Navegador.tsx/TopicDetalle.tsx pueden empezar a construirse en paralelo.</t>
  </si>
  <si>
    <t>TEST-SEC-1</t>
  </si>
  <si>
    <t>tests/security/test_proyecto_context.py + test_seguridad_jwt.py — con los 3 routers ya reales</t>
  </si>
  <si>
    <t>Pieza más crítica, probada temprano, no al final.</t>
  </si>
  <si>
    <t>TEST-D1</t>
  </si>
  <si>
    <t>tests/unit/ y tests/integration/ de proyectos, contenido, bookmap y checkout</t>
  </si>
  <si>
    <t>D4</t>
  </si>
  <si>
    <t>versiones_service.py + router</t>
  </si>
  <si>
    <t>D-II - Versionado y workflow</t>
  </si>
  <si>
    <t>D5</t>
  </si>
  <si>
    <t>tareas_service.py + workflow_service.py + routers</t>
  </si>
  <si>
    <t>D6</t>
  </si>
  <si>
    <t>servilog_service.py + router</t>
  </si>
  <si>
    <t>H1</t>
  </si>
  <si>
    <t>[CONDICIONAL] exist_db_client.py real + integración</t>
  </si>
  <si>
    <t>A5, D6</t>
  </si>
  <si>
    <t>Solo si T-A5 decide activar eXist-db.</t>
  </si>
  <si>
    <t>D7</t>
  </si>
  <si>
    <t>indice_extraccion_service.py + router</t>
  </si>
  <si>
    <t>CHK-D2</t>
  </si>
  <si>
    <t>VERIFICACIÓN (Swagger/curl): baseline+diff, workflow completo, alta de objeto SIR con índice derivado</t>
  </si>
  <si>
    <t>D5, D7</t>
  </si>
  <si>
    <t>A partir de aquí, Versiones.tsx/GestorTareas.tsx/Publicacion.tsx/ServiLog.tsx pueden empezar a construirse en paralelo.</t>
  </si>
  <si>
    <t>TEST-D2</t>
  </si>
  <si>
    <t>tests/unit/, tests/integration/ y tests/security/test_rbac_permisos.py de este bloque</t>
  </si>
  <si>
    <t>D8</t>
  </si>
  <si>
    <t>busqueda_service.py + conexión real a OpenSearch</t>
  </si>
  <si>
    <t>D-III - Búsqueda, admin y publicación</t>
  </si>
  <si>
    <t>D9</t>
  </si>
  <si>
    <t>reports_service.py + router</t>
  </si>
  <si>
    <t>D10</t>
  </si>
  <si>
    <t>rbac_service.py + admin_service.py + auditoria_service.py + comentarios_service.py + routers</t>
  </si>
  <si>
    <t>D11</t>
  </si>
  <si>
    <t>publisher_service.py + router</t>
  </si>
  <si>
    <t>D12</t>
  </si>
  <si>
    <t>worker/ — cola async + DITA-OT/Saxon + integración según T-A4</t>
  </si>
  <si>
    <t>D11, A4</t>
  </si>
  <si>
    <t>BLOQUEADO hasta que T-A4 confirme el alcance.</t>
  </si>
  <si>
    <t>CHK-D3</t>
  </si>
  <si>
    <t>VERIFICACIÓN (Swagger/curl): búsqueda, reports, publicación</t>
  </si>
  <si>
    <t>D8, D9, D12</t>
  </si>
  <si>
    <t>A partir de aquí, Busqueda.tsx/Reports.tsx/Admin.tsx pueden empezar a construirse en paralelo.</t>
  </si>
  <si>
    <t>TEST-D3</t>
  </si>
  <si>
    <t>tests/unit/, tests/integration/ y tests/security/test_auth_federacion.py del resto de servicios</t>
  </si>
  <si>
    <t>G1</t>
  </si>
  <si>
    <t>Workflow de GitHub Actions — tests automáticos en cada push</t>
  </si>
  <si>
    <t>G - CI/CD</t>
  </si>
  <si>
    <t>E0</t>
  </si>
  <si>
    <t>Base compartida: components/, services/ (capa fetch), stores/, hooks/, types/ — construida contra el CONTRATO de API (OpenAPI/mockup), no contra un backend corriendo</t>
  </si>
  <si>
    <t>UX/ILS Specialist</t>
  </si>
  <si>
    <t>No depende de ningún backend real: usa el contrato ya definido en el mockup y en la documentación de routers/ para maquetar y tipar. Se conecta a datos reales más adelante, en cada checkpoint.</t>
  </si>
  <si>
    <t>E1</t>
  </si>
  <si>
    <t>Login.tsx</t>
  </si>
  <si>
    <t>E-I - Login</t>
  </si>
  <si>
    <t>E0, CHK-B</t>
  </si>
  <si>
    <t>Arranca en cuanto CHK-B confirma que auth/JWT funcionan — no espera a que el resto del backend esté listo.</t>
  </si>
  <si>
    <t>CHK-E1</t>
  </si>
  <si>
    <t>VERIFICACIÓN: login real contra el IdP de ATEXIS, JWT/sesión correctos en React DevTools</t>
  </si>
  <si>
    <t>E2</t>
  </si>
  <si>
    <t>Dashboard.tsx</t>
  </si>
  <si>
    <t>E-II - Vistas principales</t>
  </si>
  <si>
    <t>CHK-E1, EDASH, CHK-D1</t>
  </si>
  <si>
    <t>Arranca en cuanto CHK-D1 confirma el backend de contenido/proyectos.</t>
  </si>
  <si>
    <t>E3</t>
  </si>
  <si>
    <t>Proyectos.tsx</t>
  </si>
  <si>
    <t>CHK-E1, CHK-D1</t>
  </si>
  <si>
    <t>E4</t>
  </si>
  <si>
    <t>Navegador.tsx</t>
  </si>
  <si>
    <t>E5</t>
  </si>
  <si>
    <t>TopicDetalle.tsx</t>
  </si>
  <si>
    <t>CHK-E2</t>
  </si>
  <si>
    <t>VERIFICACIÓN (React DevTools + click-through): datos reales, sin errores de consola, estado correcto</t>
  </si>
  <si>
    <t>E2, E3, E4, E5</t>
  </si>
  <si>
    <t>E6</t>
  </si>
  <si>
    <t>BookmapEditor.tsx</t>
  </si>
  <si>
    <t>E-III - Edición y workflow</t>
  </si>
  <si>
    <t>CHK-E2, CHK-D2</t>
  </si>
  <si>
    <t>Arranca en cuanto CHK-D2 confirma versiones/workflow/ServiLog en backend.</t>
  </si>
  <si>
    <t>E7</t>
  </si>
  <si>
    <t>Versiones.tsx</t>
  </si>
  <si>
    <t>E8</t>
  </si>
  <si>
    <t>GestorTareas.tsx</t>
  </si>
  <si>
    <t>E9</t>
  </si>
  <si>
    <t>Publicacion.tsx</t>
  </si>
  <si>
    <t>Publicar de verdad requiere D11/D12, que llegan más tarde en la pista FSD — construir la pantalla puede ir antes, probarla end-to-end espera.</t>
  </si>
  <si>
    <t>E10</t>
  </si>
  <si>
    <t>ServiLog.tsx</t>
  </si>
  <si>
    <t>CHK-E3</t>
  </si>
  <si>
    <t>VERIFICACIÓN: bookmap, diff de versiones, stepper de workflow desde la UI, ServiLog</t>
  </si>
  <si>
    <t>E6, E7, E8, E9, E10</t>
  </si>
  <si>
    <t>E11</t>
  </si>
  <si>
    <t>Busqueda.tsx</t>
  </si>
  <si>
    <t>E-IV - Búsqueda y administración</t>
  </si>
  <si>
    <t>CHK-E3, CHK-D3</t>
  </si>
  <si>
    <t>Arranca en cuanto CHK-D3 confirma búsqueda/reports/publicación en backend.</t>
  </si>
  <si>
    <t>E12</t>
  </si>
  <si>
    <t>Reports.tsx</t>
  </si>
  <si>
    <t>E13</t>
  </si>
  <si>
    <t>Admin.tsx</t>
  </si>
  <si>
    <t>CHK-EFINAL</t>
  </si>
  <si>
    <t>VERIFICACIÓN FINAL end-to-end: recorrido completo de las 13 pantallas, RBAC visual, aislamiento de proyecto en la UI</t>
  </si>
  <si>
    <t>E11, E12, E13, TEST-D3</t>
  </si>
  <si>
    <t>Depende también de TEST-D3 (backend probado a fondo) para que la verificación final tenga sentido sobre una base ya sólida.</t>
  </si>
  <si>
    <t>Resumen de esfuerzo por perfil</t>
  </si>
  <si>
    <t>Días hábiles totales</t>
  </si>
  <si>
    <t>TOTAL</t>
  </si>
  <si>
    <t>Nota: la tarea H1 (eXist-db) es condicional a la decisión A5 y no está incluida en la fecha fin del bloque de backend/CI (G1) ni en el total de esfuerzo — si A5 confirma activar eXist-db, sumar sus 3 días al camino crítico del backend antes de F1.</t>
  </si>
  <si>
    <t>Huecos de espera reales del UX/ILS Specialist (dos personas en paralelo): E1 espera ~11 días tras E0 (a que CHK-B confirme auth) · E2-E5 esperan ~23 días tras CHK-E1 (a que CHK-D1 confirme el backend de contenido) · E6-E10 esperan ~13 días tras CHK-E2 (a CHK-D2) · E11-E13 esperan ~10 días tras CHK-E3 (a CHK-D3). Total aproximado: ~57 días naturales de espera a lo largo del proyecto. Sugerencia: aprovechar esos huecos para diseño visual detallado, accesibilidad, i18n, o preparación de datos de prueba — no son necesariamente tiempo muerto si se planifica con antelación.</t>
  </si>
  <si>
    <t>Gantt semanal — Proyecto CCMS Nav</t>
  </si>
  <si>
    <t>Leyenda</t>
  </si>
  <si>
    <t>Las columnas son semanas (lunes de cada semana). Una celda coloreada significa que la tarea está en curso esa semana. Los colores de fondo de las columnas A-C agrupan las tareas por bloque, igual que en la hoja 'Plan de tareas'.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</si>
</sst>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9"/>
      <color rgb="FF1F5F8B"/>
      <name val="Arial"/>
      <charset val="1"/>
    </font>
    <font>
      <sz val="9"/>
      <color rgb="FF000000"/>
      <name val="Arial"/>
      <charset val="1"/>
    </font>
    <font>
      <sz val="9"/>
      <color rgb="FFC0762A"/>
      <name val="Arial"/>
      <charset val="1"/>
    </font>
    <font>
      <b/>
      <sz val="11"/>
      <name val="Arial"/>
      <charset val="1"/>
    </font>
    <font>
      <i/>
      <sz val="9"/>
      <color rgb="FF9C5700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sz val="8"/>
      <color rgb="FFFFFFFF"/>
      <name val="Arial"/>
      <charset val="1"/>
    </font>
    <font>
      <sz val="9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CE4D6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2E9"/>
        <bgColor rgb="FFDDEBF7"/>
      </patternFill>
    </fill>
    <fill>
      <patternFill patternType="solid">
        <fgColor rgb="FF1F5F8B"/>
        <bgColor rgb="FF008080"/>
      </patternFill>
    </fill>
    <fill>
      <patternFill patternType="solid">
        <fgColor rgb="FFC0762A"/>
        <bgColor rgb="FF9C57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14" fontId="4" fillId="3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14" fontId="4" fillId="5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14" fontId="4" fillId="6" borderId="1" xfId="0" applyNumberFormat="1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14" fontId="4" fillId="7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14" fontId="5" fillId="4" borderId="1" xfId="0" applyNumberFormat="1" applyFont="1" applyFill="1" applyBorder="1" applyAlignment="1">
      <alignment horizontal="center" vertical="top" wrapText="1"/>
    </xf>
    <xf numFmtId="0" fontId="7" fillId="0" borderId="0" xfId="0" applyFont="1"/>
    <xf numFmtId="0" fontId="3" fillId="2" borderId="0" xfId="0" applyFont="1" applyFill="1"/>
    <xf numFmtId="164" fontId="9" fillId="2" borderId="0" xfId="0" applyNumberFormat="1" applyFont="1" applyFill="1" applyAlignment="1">
      <alignment horizontal="center" textRotation="90"/>
    </xf>
    <xf numFmtId="0" fontId="10" fillId="3" borderId="0" xfId="0" applyFont="1" applyFill="1"/>
    <xf numFmtId="0" fontId="10" fillId="3" borderId="0" xfId="0" applyFont="1" applyFill="1" applyAlignment="1">
      <alignment vertical="center"/>
    </xf>
    <xf numFmtId="0" fontId="4" fillId="3" borderId="0" xfId="0" applyFont="1" applyFill="1"/>
    <xf numFmtId="0" fontId="11" fillId="0" borderId="0" xfId="0" applyFont="1" applyAlignment="1">
      <alignment horizontal="center"/>
    </xf>
    <xf numFmtId="0" fontId="10" fillId="4" borderId="0" xfId="0" applyFont="1" applyFill="1"/>
    <xf numFmtId="0" fontId="10" fillId="4" borderId="0" xfId="0" applyFont="1" applyFill="1" applyAlignment="1">
      <alignment vertical="center"/>
    </xf>
    <xf numFmtId="0" fontId="4" fillId="4" borderId="0" xfId="0" applyFont="1" applyFill="1"/>
    <xf numFmtId="0" fontId="10" fillId="5" borderId="0" xfId="0" applyFont="1" applyFill="1"/>
    <xf numFmtId="0" fontId="10" fillId="5" borderId="0" xfId="0" applyFont="1" applyFill="1" applyAlignment="1">
      <alignment vertical="center"/>
    </xf>
    <xf numFmtId="0" fontId="4" fillId="5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vertical="center"/>
    </xf>
    <xf numFmtId="0" fontId="4" fillId="6" borderId="0" xfId="0" applyFont="1" applyFill="1"/>
    <xf numFmtId="0" fontId="10" fillId="7" borderId="0" xfId="0" applyFont="1" applyFill="1"/>
    <xf numFmtId="0" fontId="10" fillId="7" borderId="0" xfId="0" applyFont="1" applyFill="1" applyAlignment="1">
      <alignment vertical="center"/>
    </xf>
    <xf numFmtId="0" fontId="4" fillId="7" borderId="0" xfId="0" applyFont="1" applyFill="1"/>
    <xf numFmtId="0" fontId="6" fillId="4" borderId="0" xfId="0" applyFont="1" applyFill="1"/>
    <xf numFmtId="0" fontId="12" fillId="8" borderId="0" xfId="0" applyFont="1" applyFill="1"/>
    <xf numFmtId="0" fontId="12" fillId="9" borderId="0" xfId="0" applyFont="1" applyFill="1"/>
  </cellXfs>
  <cellStyles count="1">
    <cellStyle name="Normal" xfId="0" builtinId="0"/>
  </cellStyles>
  <dxfs count="2">
    <dxf>
      <fill>
        <patternFill>
          <bgColor rgb="FFC0762A"/>
        </patternFill>
      </fill>
    </dxf>
    <dxf>
      <fill>
        <patternFill>
          <bgColor rgb="FF1F5F8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62A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1F5F8B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25" defaultRowHeight="14.3" x14ac:dyDescent="0.25"/>
  <cols>
    <col min="1" max="1" width="8" customWidth="1"/>
    <col min="2" max="2" width="46" customWidth="1"/>
    <col min="3" max="3" width="24" customWidth="1"/>
    <col min="4" max="4" width="20" customWidth="1"/>
    <col min="5" max="5" width="14" customWidth="1"/>
    <col min="6" max="6" width="16" customWidth="1"/>
    <col min="7" max="9" width="13" customWidth="1"/>
    <col min="10" max="10" width="55" customWidth="1"/>
  </cols>
  <sheetData>
    <row r="1" spans="1:11" ht="18.35000000000000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27.2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1" ht="23.1" x14ac:dyDescent="0.25">
      <c r="A5" s="7" t="s">
        <v>12</v>
      </c>
      <c r="B5" s="8" t="s">
        <v>13</v>
      </c>
      <c r="C5" s="7" t="s">
        <v>14</v>
      </c>
      <c r="D5" s="7" t="s">
        <v>15</v>
      </c>
      <c r="E5" s="7">
        <v>1</v>
      </c>
      <c r="F5" s="8" t="s">
        <v>16</v>
      </c>
      <c r="G5" s="7" t="s">
        <v>17</v>
      </c>
      <c r="H5" s="9">
        <v>46272</v>
      </c>
      <c r="I5" s="9">
        <f t="shared" ref="I5:I36" si="0">WORKDAY(H5,E5-1)</f>
        <v>46272</v>
      </c>
      <c r="J5" s="8" t="s">
        <v>18</v>
      </c>
    </row>
    <row r="6" spans="1:11" ht="34.65" x14ac:dyDescent="0.25">
      <c r="A6" s="7" t="s">
        <v>19</v>
      </c>
      <c r="B6" s="8" t="s">
        <v>20</v>
      </c>
      <c r="C6" s="7" t="s">
        <v>14</v>
      </c>
      <c r="D6" s="7" t="s">
        <v>15</v>
      </c>
      <c r="E6" s="7">
        <v>1</v>
      </c>
      <c r="F6" s="8" t="s">
        <v>16</v>
      </c>
      <c r="G6" s="7" t="s">
        <v>17</v>
      </c>
      <c r="H6" s="9">
        <v>46272</v>
      </c>
      <c r="I6" s="9">
        <f t="shared" si="0"/>
        <v>46272</v>
      </c>
      <c r="J6" s="8" t="s">
        <v>21</v>
      </c>
    </row>
    <row r="7" spans="1:11" x14ac:dyDescent="0.25">
      <c r="A7" s="7" t="s">
        <v>22</v>
      </c>
      <c r="B7" s="8" t="s">
        <v>23</v>
      </c>
      <c r="C7" s="7" t="s">
        <v>14</v>
      </c>
      <c r="D7" s="7" t="s">
        <v>15</v>
      </c>
      <c r="E7" s="7">
        <v>2</v>
      </c>
      <c r="F7" s="8" t="s">
        <v>16</v>
      </c>
      <c r="G7" s="7" t="s">
        <v>17</v>
      </c>
      <c r="H7" s="9">
        <v>46272</v>
      </c>
      <c r="I7" s="9">
        <f t="shared" si="0"/>
        <v>46273</v>
      </c>
      <c r="J7" s="8" t="s">
        <v>24</v>
      </c>
    </row>
    <row r="8" spans="1:11" ht="23.1" x14ac:dyDescent="0.25">
      <c r="A8" s="7" t="s">
        <v>25</v>
      </c>
      <c r="B8" s="8" t="s">
        <v>26</v>
      </c>
      <c r="C8" s="7" t="s">
        <v>14</v>
      </c>
      <c r="D8" s="7" t="s">
        <v>15</v>
      </c>
      <c r="E8" s="7">
        <v>1</v>
      </c>
      <c r="F8" s="8" t="s">
        <v>16</v>
      </c>
      <c r="G8" s="7" t="s">
        <v>17</v>
      </c>
      <c r="H8" s="9">
        <v>46272</v>
      </c>
      <c r="I8" s="9">
        <f t="shared" si="0"/>
        <v>46272</v>
      </c>
      <c r="J8" s="8" t="s">
        <v>27</v>
      </c>
    </row>
    <row r="9" spans="1:11" x14ac:dyDescent="0.25">
      <c r="A9" s="7" t="s">
        <v>28</v>
      </c>
      <c r="B9" s="8" t="s">
        <v>29</v>
      </c>
      <c r="C9" s="7" t="s">
        <v>14</v>
      </c>
      <c r="D9" s="7" t="s">
        <v>15</v>
      </c>
      <c r="E9" s="7">
        <v>1</v>
      </c>
      <c r="F9" s="8" t="s">
        <v>16</v>
      </c>
      <c r="G9" s="7" t="s">
        <v>17</v>
      </c>
      <c r="H9" s="9">
        <v>46272</v>
      </c>
      <c r="I9" s="9">
        <f t="shared" si="0"/>
        <v>46272</v>
      </c>
      <c r="J9" s="8" t="s">
        <v>30</v>
      </c>
    </row>
    <row r="10" spans="1:11" ht="23.1" x14ac:dyDescent="0.25">
      <c r="A10" s="10" t="s">
        <v>31</v>
      </c>
      <c r="B10" s="11" t="s">
        <v>32</v>
      </c>
      <c r="C10" s="10" t="s">
        <v>33</v>
      </c>
      <c r="D10" s="10" t="s">
        <v>15</v>
      </c>
      <c r="E10" s="10">
        <v>0.5</v>
      </c>
      <c r="F10" s="11" t="s">
        <v>16</v>
      </c>
      <c r="G10" s="10" t="s">
        <v>17</v>
      </c>
      <c r="H10" s="12">
        <v>46272</v>
      </c>
      <c r="I10" s="12">
        <f t="shared" si="0"/>
        <v>46269</v>
      </c>
      <c r="J10" s="11" t="s">
        <v>34</v>
      </c>
    </row>
    <row r="11" spans="1:11" ht="23.1" x14ac:dyDescent="0.25">
      <c r="A11" s="13" t="s">
        <v>35</v>
      </c>
      <c r="B11" s="14" t="s">
        <v>36</v>
      </c>
      <c r="C11" s="13" t="s">
        <v>37</v>
      </c>
      <c r="D11" s="13" t="s">
        <v>15</v>
      </c>
      <c r="E11" s="13">
        <v>1</v>
      </c>
      <c r="F11" s="14" t="s">
        <v>16</v>
      </c>
      <c r="G11" s="13" t="s">
        <v>38</v>
      </c>
      <c r="H11" s="15">
        <v>46272</v>
      </c>
      <c r="I11" s="15">
        <f t="shared" si="0"/>
        <v>46272</v>
      </c>
      <c r="J11" s="14" t="s">
        <v>16</v>
      </c>
    </row>
    <row r="12" spans="1:11" x14ac:dyDescent="0.25">
      <c r="A12" s="13" t="s">
        <v>39</v>
      </c>
      <c r="B12" s="14" t="s">
        <v>40</v>
      </c>
      <c r="C12" s="13" t="s">
        <v>37</v>
      </c>
      <c r="D12" s="13" t="s">
        <v>15</v>
      </c>
      <c r="E12" s="13">
        <v>1</v>
      </c>
      <c r="F12" s="14" t="s">
        <v>35</v>
      </c>
      <c r="G12" s="13" t="s">
        <v>38</v>
      </c>
      <c r="H12" s="15">
        <v>46273</v>
      </c>
      <c r="I12" s="15">
        <f t="shared" si="0"/>
        <v>46273</v>
      </c>
      <c r="J12" s="14" t="s">
        <v>16</v>
      </c>
    </row>
    <row r="13" spans="1:11" x14ac:dyDescent="0.25">
      <c r="A13" s="13" t="s">
        <v>41</v>
      </c>
      <c r="B13" s="14" t="s">
        <v>42</v>
      </c>
      <c r="C13" s="13" t="s">
        <v>37</v>
      </c>
      <c r="D13" s="13" t="s">
        <v>15</v>
      </c>
      <c r="E13" s="13">
        <v>0.5</v>
      </c>
      <c r="F13" s="14" t="s">
        <v>35</v>
      </c>
      <c r="G13" s="13" t="s">
        <v>17</v>
      </c>
      <c r="H13" s="15">
        <v>46274</v>
      </c>
      <c r="I13" s="15">
        <f t="shared" si="0"/>
        <v>46273</v>
      </c>
      <c r="J13" s="14" t="s">
        <v>16</v>
      </c>
    </row>
    <row r="14" spans="1:11" x14ac:dyDescent="0.25">
      <c r="A14" s="13" t="s">
        <v>43</v>
      </c>
      <c r="B14" s="14" t="s">
        <v>44</v>
      </c>
      <c r="C14" s="13" t="s">
        <v>37</v>
      </c>
      <c r="D14" s="13" t="s">
        <v>15</v>
      </c>
      <c r="E14" s="13">
        <v>1</v>
      </c>
      <c r="F14" s="14" t="s">
        <v>39</v>
      </c>
      <c r="G14" s="13" t="s">
        <v>38</v>
      </c>
      <c r="H14" s="15">
        <v>46275</v>
      </c>
      <c r="I14" s="15">
        <f t="shared" si="0"/>
        <v>46275</v>
      </c>
      <c r="J14" s="14" t="s">
        <v>16</v>
      </c>
    </row>
    <row r="15" spans="1:11" x14ac:dyDescent="0.25">
      <c r="A15" s="13" t="s">
        <v>45</v>
      </c>
      <c r="B15" s="14" t="s">
        <v>46</v>
      </c>
      <c r="C15" s="13" t="s">
        <v>37</v>
      </c>
      <c r="D15" s="13" t="s">
        <v>15</v>
      </c>
      <c r="E15" s="13">
        <v>2</v>
      </c>
      <c r="F15" s="14" t="s">
        <v>43</v>
      </c>
      <c r="G15" s="13" t="s">
        <v>38</v>
      </c>
      <c r="H15" s="15">
        <v>46276</v>
      </c>
      <c r="I15" s="15">
        <f t="shared" si="0"/>
        <v>46279</v>
      </c>
      <c r="J15" s="14" t="s">
        <v>16</v>
      </c>
    </row>
    <row r="16" spans="1:11" ht="23.1" x14ac:dyDescent="0.25">
      <c r="A16" s="13" t="s">
        <v>47</v>
      </c>
      <c r="B16" s="14" t="s">
        <v>48</v>
      </c>
      <c r="C16" s="13" t="s">
        <v>37</v>
      </c>
      <c r="D16" s="13" t="s">
        <v>15</v>
      </c>
      <c r="E16" s="13">
        <v>1.5</v>
      </c>
      <c r="F16" s="14" t="s">
        <v>39</v>
      </c>
      <c r="G16" s="13" t="s">
        <v>17</v>
      </c>
      <c r="H16" s="15">
        <v>46280</v>
      </c>
      <c r="I16" s="15">
        <f t="shared" si="0"/>
        <v>46280</v>
      </c>
      <c r="J16" s="14" t="s">
        <v>49</v>
      </c>
    </row>
    <row r="17" spans="1:10" x14ac:dyDescent="0.25">
      <c r="A17" s="13" t="s">
        <v>50</v>
      </c>
      <c r="B17" s="14" t="s">
        <v>51</v>
      </c>
      <c r="C17" s="13" t="s">
        <v>37</v>
      </c>
      <c r="D17" s="13" t="s">
        <v>15</v>
      </c>
      <c r="E17" s="13">
        <v>2</v>
      </c>
      <c r="F17" s="14" t="s">
        <v>45</v>
      </c>
      <c r="G17" s="13" t="s">
        <v>38</v>
      </c>
      <c r="H17" s="15">
        <v>46281</v>
      </c>
      <c r="I17" s="15">
        <f t="shared" si="0"/>
        <v>46282</v>
      </c>
      <c r="J17" s="14" t="s">
        <v>16</v>
      </c>
    </row>
    <row r="18" spans="1:10" ht="23.1" x14ac:dyDescent="0.25">
      <c r="A18" s="13" t="s">
        <v>52</v>
      </c>
      <c r="B18" s="14" t="s">
        <v>53</v>
      </c>
      <c r="C18" s="13" t="s">
        <v>37</v>
      </c>
      <c r="D18" s="13" t="s">
        <v>15</v>
      </c>
      <c r="E18" s="13">
        <v>0.5</v>
      </c>
      <c r="F18" s="14" t="s">
        <v>54</v>
      </c>
      <c r="G18" s="13" t="s">
        <v>38</v>
      </c>
      <c r="H18" s="15">
        <v>46283</v>
      </c>
      <c r="I18" s="15">
        <f t="shared" si="0"/>
        <v>46282</v>
      </c>
      <c r="J18" s="14" t="s">
        <v>55</v>
      </c>
    </row>
    <row r="19" spans="1:10" x14ac:dyDescent="0.25">
      <c r="A19" s="13" t="s">
        <v>56</v>
      </c>
      <c r="B19" s="14" t="s">
        <v>57</v>
      </c>
      <c r="C19" s="13" t="s">
        <v>37</v>
      </c>
      <c r="D19" s="13" t="s">
        <v>15</v>
      </c>
      <c r="E19" s="13">
        <v>2</v>
      </c>
      <c r="F19" s="14" t="s">
        <v>58</v>
      </c>
      <c r="G19" s="13" t="s">
        <v>17</v>
      </c>
      <c r="H19" s="15">
        <v>46286</v>
      </c>
      <c r="I19" s="15">
        <f t="shared" si="0"/>
        <v>46287</v>
      </c>
      <c r="J19" s="14" t="s">
        <v>59</v>
      </c>
    </row>
    <row r="20" spans="1:10" x14ac:dyDescent="0.25">
      <c r="A20" s="16" t="s">
        <v>60</v>
      </c>
      <c r="B20" s="17" t="s">
        <v>61</v>
      </c>
      <c r="C20" s="16" t="s">
        <v>62</v>
      </c>
      <c r="D20" s="16" t="s">
        <v>15</v>
      </c>
      <c r="E20" s="16">
        <v>2</v>
      </c>
      <c r="F20" s="17" t="s">
        <v>52</v>
      </c>
      <c r="G20" s="16" t="s">
        <v>38</v>
      </c>
      <c r="H20" s="18">
        <v>46288</v>
      </c>
      <c r="I20" s="18">
        <f t="shared" si="0"/>
        <v>46289</v>
      </c>
      <c r="J20" s="17" t="s">
        <v>16</v>
      </c>
    </row>
    <row r="21" spans="1:10" x14ac:dyDescent="0.25">
      <c r="A21" s="16" t="s">
        <v>63</v>
      </c>
      <c r="B21" s="17" t="s">
        <v>64</v>
      </c>
      <c r="C21" s="16" t="s">
        <v>62</v>
      </c>
      <c r="D21" s="16" t="s">
        <v>15</v>
      </c>
      <c r="E21" s="16">
        <v>4</v>
      </c>
      <c r="F21" s="17" t="s">
        <v>60</v>
      </c>
      <c r="G21" s="16" t="s">
        <v>38</v>
      </c>
      <c r="H21" s="18">
        <v>46290</v>
      </c>
      <c r="I21" s="18">
        <f t="shared" si="0"/>
        <v>46295</v>
      </c>
      <c r="J21" s="17" t="s">
        <v>16</v>
      </c>
    </row>
    <row r="22" spans="1:10" ht="23.1" x14ac:dyDescent="0.25">
      <c r="A22" s="16" t="s">
        <v>65</v>
      </c>
      <c r="B22" s="17" t="s">
        <v>66</v>
      </c>
      <c r="C22" s="16" t="s">
        <v>62</v>
      </c>
      <c r="D22" s="16" t="s">
        <v>15</v>
      </c>
      <c r="E22" s="16">
        <v>3</v>
      </c>
      <c r="F22" s="17" t="s">
        <v>63</v>
      </c>
      <c r="G22" s="16" t="s">
        <v>38</v>
      </c>
      <c r="H22" s="18">
        <v>46296</v>
      </c>
      <c r="I22" s="18">
        <f t="shared" si="0"/>
        <v>46300</v>
      </c>
      <c r="J22" s="17" t="s">
        <v>16</v>
      </c>
    </row>
    <row r="23" spans="1:10" ht="23.1" x14ac:dyDescent="0.25">
      <c r="A23" s="16" t="s">
        <v>67</v>
      </c>
      <c r="B23" s="17" t="s">
        <v>68</v>
      </c>
      <c r="C23" s="16" t="s">
        <v>62</v>
      </c>
      <c r="D23" s="16" t="s">
        <v>15</v>
      </c>
      <c r="E23" s="16">
        <v>0.5</v>
      </c>
      <c r="F23" s="17" t="s">
        <v>65</v>
      </c>
      <c r="G23" s="16" t="s">
        <v>38</v>
      </c>
      <c r="H23" s="18">
        <v>46301</v>
      </c>
      <c r="I23" s="18">
        <f t="shared" si="0"/>
        <v>46300</v>
      </c>
      <c r="J23" s="17" t="s">
        <v>16</v>
      </c>
    </row>
    <row r="24" spans="1:10" x14ac:dyDescent="0.25">
      <c r="A24" s="10" t="s">
        <v>69</v>
      </c>
      <c r="B24" s="11" t="s">
        <v>70</v>
      </c>
      <c r="C24" s="10" t="s">
        <v>71</v>
      </c>
      <c r="D24" s="10" t="s">
        <v>15</v>
      </c>
      <c r="E24" s="10">
        <v>1.5</v>
      </c>
      <c r="F24" s="11" t="s">
        <v>67</v>
      </c>
      <c r="G24" s="10" t="s">
        <v>38</v>
      </c>
      <c r="H24" s="12">
        <v>46302</v>
      </c>
      <c r="I24" s="12">
        <f t="shared" si="0"/>
        <v>46302</v>
      </c>
      <c r="J24" s="11" t="s">
        <v>16</v>
      </c>
    </row>
    <row r="25" spans="1:10" x14ac:dyDescent="0.25">
      <c r="A25" s="10" t="s">
        <v>72</v>
      </c>
      <c r="B25" s="11" t="s">
        <v>73</v>
      </c>
      <c r="C25" s="10" t="s">
        <v>71</v>
      </c>
      <c r="D25" s="10" t="s">
        <v>15</v>
      </c>
      <c r="E25" s="10">
        <v>3</v>
      </c>
      <c r="F25" s="11" t="s">
        <v>69</v>
      </c>
      <c r="G25" s="10" t="s">
        <v>38</v>
      </c>
      <c r="H25" s="12">
        <v>46303</v>
      </c>
      <c r="I25" s="12">
        <f t="shared" si="0"/>
        <v>46307</v>
      </c>
      <c r="J25" s="11" t="s">
        <v>16</v>
      </c>
    </row>
    <row r="26" spans="1:10" x14ac:dyDescent="0.25">
      <c r="A26" s="10" t="s">
        <v>74</v>
      </c>
      <c r="B26" s="11" t="s">
        <v>75</v>
      </c>
      <c r="C26" s="10" t="s">
        <v>71</v>
      </c>
      <c r="D26" s="10" t="s">
        <v>15</v>
      </c>
      <c r="E26" s="10">
        <v>2</v>
      </c>
      <c r="F26" s="11" t="s">
        <v>72</v>
      </c>
      <c r="G26" s="10" t="s">
        <v>38</v>
      </c>
      <c r="H26" s="12">
        <v>46308</v>
      </c>
      <c r="I26" s="12">
        <f t="shared" si="0"/>
        <v>46309</v>
      </c>
      <c r="J26" s="11" t="s">
        <v>16</v>
      </c>
    </row>
    <row r="27" spans="1:10" ht="23.1" x14ac:dyDescent="0.25">
      <c r="A27" s="10" t="s">
        <v>76</v>
      </c>
      <c r="B27" s="11" t="s">
        <v>77</v>
      </c>
      <c r="C27" s="10" t="s">
        <v>71</v>
      </c>
      <c r="D27" s="10" t="s">
        <v>15</v>
      </c>
      <c r="E27" s="10">
        <v>1</v>
      </c>
      <c r="F27" s="11" t="s">
        <v>74</v>
      </c>
      <c r="G27" s="10" t="s">
        <v>38</v>
      </c>
      <c r="H27" s="12">
        <v>46310</v>
      </c>
      <c r="I27" s="12">
        <f t="shared" si="0"/>
        <v>46310</v>
      </c>
      <c r="J27" s="11" t="s">
        <v>78</v>
      </c>
    </row>
    <row r="28" spans="1:10" ht="23.1" x14ac:dyDescent="0.25">
      <c r="A28" s="10" t="s">
        <v>79</v>
      </c>
      <c r="B28" s="11" t="s">
        <v>80</v>
      </c>
      <c r="C28" s="10" t="s">
        <v>71</v>
      </c>
      <c r="D28" s="10" t="s">
        <v>15</v>
      </c>
      <c r="E28" s="10">
        <v>1.5</v>
      </c>
      <c r="F28" s="11" t="s">
        <v>76</v>
      </c>
      <c r="G28" s="10" t="s">
        <v>38</v>
      </c>
      <c r="H28" s="12">
        <v>46311</v>
      </c>
      <c r="I28" s="12">
        <f t="shared" si="0"/>
        <v>46311</v>
      </c>
      <c r="J28" s="11" t="s">
        <v>81</v>
      </c>
    </row>
    <row r="29" spans="1:10" ht="23.1" x14ac:dyDescent="0.25">
      <c r="A29" s="10" t="s">
        <v>82</v>
      </c>
      <c r="B29" s="11" t="s">
        <v>83</v>
      </c>
      <c r="C29" s="10" t="s">
        <v>71</v>
      </c>
      <c r="D29" s="10" t="s">
        <v>15</v>
      </c>
      <c r="E29" s="10">
        <v>2</v>
      </c>
      <c r="F29" s="11" t="s">
        <v>76</v>
      </c>
      <c r="G29" s="10" t="s">
        <v>17</v>
      </c>
      <c r="H29" s="12">
        <v>46314</v>
      </c>
      <c r="I29" s="12">
        <f t="shared" si="0"/>
        <v>46315</v>
      </c>
      <c r="J29" s="11" t="s">
        <v>16</v>
      </c>
    </row>
    <row r="30" spans="1:10" x14ac:dyDescent="0.25">
      <c r="A30" s="10" t="s">
        <v>84</v>
      </c>
      <c r="B30" s="11" t="s">
        <v>85</v>
      </c>
      <c r="C30" s="10" t="s">
        <v>86</v>
      </c>
      <c r="D30" s="10" t="s">
        <v>15</v>
      </c>
      <c r="E30" s="10">
        <v>2</v>
      </c>
      <c r="F30" s="11" t="s">
        <v>82</v>
      </c>
      <c r="G30" s="10" t="s">
        <v>17</v>
      </c>
      <c r="H30" s="12">
        <v>46316</v>
      </c>
      <c r="I30" s="12">
        <f t="shared" si="0"/>
        <v>46317</v>
      </c>
      <c r="J30" s="11" t="s">
        <v>16</v>
      </c>
    </row>
    <row r="31" spans="1:10" x14ac:dyDescent="0.25">
      <c r="A31" s="10" t="s">
        <v>87</v>
      </c>
      <c r="B31" s="11" t="s">
        <v>88</v>
      </c>
      <c r="C31" s="10" t="s">
        <v>86</v>
      </c>
      <c r="D31" s="10" t="s">
        <v>15</v>
      </c>
      <c r="E31" s="10">
        <v>3</v>
      </c>
      <c r="F31" s="11" t="s">
        <v>82</v>
      </c>
      <c r="G31" s="10" t="s">
        <v>38</v>
      </c>
      <c r="H31" s="12">
        <v>46318</v>
      </c>
      <c r="I31" s="12">
        <f t="shared" si="0"/>
        <v>46322</v>
      </c>
      <c r="J31" s="11" t="s">
        <v>16</v>
      </c>
    </row>
    <row r="32" spans="1:10" x14ac:dyDescent="0.25">
      <c r="A32" s="10" t="s">
        <v>89</v>
      </c>
      <c r="B32" s="11" t="s">
        <v>90</v>
      </c>
      <c r="C32" s="10" t="s">
        <v>86</v>
      </c>
      <c r="D32" s="10" t="s">
        <v>15</v>
      </c>
      <c r="E32" s="10">
        <v>2.5</v>
      </c>
      <c r="F32" s="11" t="s">
        <v>84</v>
      </c>
      <c r="G32" s="10" t="s">
        <v>17</v>
      </c>
      <c r="H32" s="12">
        <v>46323</v>
      </c>
      <c r="I32" s="12">
        <f t="shared" si="0"/>
        <v>46324</v>
      </c>
      <c r="J32" s="11" t="s">
        <v>16</v>
      </c>
    </row>
    <row r="33" spans="1:10" x14ac:dyDescent="0.25">
      <c r="A33" s="10" t="s">
        <v>91</v>
      </c>
      <c r="B33" s="11" t="s">
        <v>92</v>
      </c>
      <c r="C33" s="10" t="s">
        <v>86</v>
      </c>
      <c r="D33" s="10" t="s">
        <v>15</v>
      </c>
      <c r="E33" s="10">
        <v>3</v>
      </c>
      <c r="F33" s="11" t="s">
        <v>93</v>
      </c>
      <c r="G33" s="10" t="s">
        <v>17</v>
      </c>
      <c r="H33" s="12">
        <v>46325</v>
      </c>
      <c r="I33" s="12">
        <f t="shared" si="0"/>
        <v>46329</v>
      </c>
      <c r="J33" s="11" t="s">
        <v>94</v>
      </c>
    </row>
    <row r="34" spans="1:10" x14ac:dyDescent="0.25">
      <c r="A34" s="10" t="s">
        <v>95</v>
      </c>
      <c r="B34" s="11" t="s">
        <v>96</v>
      </c>
      <c r="C34" s="10" t="s">
        <v>86</v>
      </c>
      <c r="D34" s="10" t="s">
        <v>15</v>
      </c>
      <c r="E34" s="10">
        <v>2</v>
      </c>
      <c r="F34" s="11" t="s">
        <v>89</v>
      </c>
      <c r="G34" s="10" t="s">
        <v>38</v>
      </c>
      <c r="H34" s="12">
        <v>46330</v>
      </c>
      <c r="I34" s="12">
        <f t="shared" si="0"/>
        <v>46331</v>
      </c>
      <c r="J34" s="11" t="s">
        <v>16</v>
      </c>
    </row>
    <row r="35" spans="1:10" ht="34.65" x14ac:dyDescent="0.25">
      <c r="A35" s="10" t="s">
        <v>97</v>
      </c>
      <c r="B35" s="11" t="s">
        <v>98</v>
      </c>
      <c r="C35" s="10" t="s">
        <v>86</v>
      </c>
      <c r="D35" s="10" t="s">
        <v>15</v>
      </c>
      <c r="E35" s="10">
        <v>1</v>
      </c>
      <c r="F35" s="11" t="s">
        <v>99</v>
      </c>
      <c r="G35" s="10" t="s">
        <v>38</v>
      </c>
      <c r="H35" s="12">
        <v>46332</v>
      </c>
      <c r="I35" s="12">
        <f t="shared" si="0"/>
        <v>46332</v>
      </c>
      <c r="J35" s="11" t="s">
        <v>100</v>
      </c>
    </row>
    <row r="36" spans="1:10" ht="23.1" x14ac:dyDescent="0.25">
      <c r="A36" s="10" t="s">
        <v>101</v>
      </c>
      <c r="B36" s="11" t="s">
        <v>102</v>
      </c>
      <c r="C36" s="10" t="s">
        <v>86</v>
      </c>
      <c r="D36" s="10" t="s">
        <v>15</v>
      </c>
      <c r="E36" s="10">
        <v>2</v>
      </c>
      <c r="F36" s="11" t="s">
        <v>97</v>
      </c>
      <c r="G36" s="10" t="s">
        <v>38</v>
      </c>
      <c r="H36" s="12">
        <v>46335</v>
      </c>
      <c r="I36" s="12">
        <f t="shared" si="0"/>
        <v>46336</v>
      </c>
      <c r="J36" s="11" t="s">
        <v>16</v>
      </c>
    </row>
    <row r="37" spans="1:10" ht="23.1" x14ac:dyDescent="0.25">
      <c r="A37" s="10" t="s">
        <v>103</v>
      </c>
      <c r="B37" s="11" t="s">
        <v>104</v>
      </c>
      <c r="C37" s="10" t="s">
        <v>105</v>
      </c>
      <c r="D37" s="10" t="s">
        <v>15</v>
      </c>
      <c r="E37" s="10">
        <v>2</v>
      </c>
      <c r="F37" s="11" t="s">
        <v>101</v>
      </c>
      <c r="G37" s="10" t="s">
        <v>17</v>
      </c>
      <c r="H37" s="12">
        <v>46337</v>
      </c>
      <c r="I37" s="12">
        <f t="shared" ref="I37:I68" si="1">WORKDAY(H37,E37-1)</f>
        <v>46338</v>
      </c>
      <c r="J37" s="11" t="s">
        <v>16</v>
      </c>
    </row>
    <row r="38" spans="1:10" ht="23.1" x14ac:dyDescent="0.25">
      <c r="A38" s="10" t="s">
        <v>106</v>
      </c>
      <c r="B38" s="11" t="s">
        <v>107</v>
      </c>
      <c r="C38" s="10" t="s">
        <v>105</v>
      </c>
      <c r="D38" s="10" t="s">
        <v>15</v>
      </c>
      <c r="E38" s="10">
        <v>1.5</v>
      </c>
      <c r="F38" s="11" t="s">
        <v>101</v>
      </c>
      <c r="G38" s="10" t="s">
        <v>17</v>
      </c>
      <c r="H38" s="12">
        <v>46339</v>
      </c>
      <c r="I38" s="12">
        <f t="shared" si="1"/>
        <v>46339</v>
      </c>
      <c r="J38" s="11" t="s">
        <v>16</v>
      </c>
    </row>
    <row r="39" spans="1:10" ht="23.1" x14ac:dyDescent="0.25">
      <c r="A39" s="10" t="s">
        <v>108</v>
      </c>
      <c r="B39" s="11" t="s">
        <v>109</v>
      </c>
      <c r="C39" s="10" t="s">
        <v>105</v>
      </c>
      <c r="D39" s="10" t="s">
        <v>15</v>
      </c>
      <c r="E39" s="10">
        <v>3</v>
      </c>
      <c r="F39" s="11" t="s">
        <v>101</v>
      </c>
      <c r="G39" s="10" t="s">
        <v>17</v>
      </c>
      <c r="H39" s="12">
        <v>46342</v>
      </c>
      <c r="I39" s="12">
        <f t="shared" si="1"/>
        <v>46344</v>
      </c>
      <c r="J39" s="11" t="s">
        <v>16</v>
      </c>
    </row>
    <row r="40" spans="1:10" ht="23.1" x14ac:dyDescent="0.25">
      <c r="A40" s="10" t="s">
        <v>110</v>
      </c>
      <c r="B40" s="11" t="s">
        <v>111</v>
      </c>
      <c r="C40" s="10" t="s">
        <v>105</v>
      </c>
      <c r="D40" s="10" t="s">
        <v>15</v>
      </c>
      <c r="E40" s="10">
        <v>2</v>
      </c>
      <c r="F40" s="11" t="s">
        <v>108</v>
      </c>
      <c r="G40" s="10" t="s">
        <v>38</v>
      </c>
      <c r="H40" s="12">
        <v>46345</v>
      </c>
      <c r="I40" s="12">
        <f t="shared" si="1"/>
        <v>46346</v>
      </c>
      <c r="J40" s="11" t="s">
        <v>16</v>
      </c>
    </row>
    <row r="41" spans="1:10" ht="23.1" x14ac:dyDescent="0.25">
      <c r="A41" s="10" t="s">
        <v>112</v>
      </c>
      <c r="B41" s="11" t="s">
        <v>113</v>
      </c>
      <c r="C41" s="10" t="s">
        <v>105</v>
      </c>
      <c r="D41" s="10" t="s">
        <v>15</v>
      </c>
      <c r="E41" s="10">
        <v>4</v>
      </c>
      <c r="F41" s="11" t="s">
        <v>114</v>
      </c>
      <c r="G41" s="10" t="s">
        <v>38</v>
      </c>
      <c r="H41" s="12">
        <v>46349</v>
      </c>
      <c r="I41" s="12">
        <f t="shared" si="1"/>
        <v>46352</v>
      </c>
      <c r="J41" s="11" t="s">
        <v>115</v>
      </c>
    </row>
    <row r="42" spans="1:10" ht="23.1" x14ac:dyDescent="0.25">
      <c r="A42" s="10" t="s">
        <v>116</v>
      </c>
      <c r="B42" s="11" t="s">
        <v>117</v>
      </c>
      <c r="C42" s="10" t="s">
        <v>105</v>
      </c>
      <c r="D42" s="10" t="s">
        <v>15</v>
      </c>
      <c r="E42" s="10">
        <v>1.5</v>
      </c>
      <c r="F42" s="11" t="s">
        <v>118</v>
      </c>
      <c r="G42" s="10" t="s">
        <v>38</v>
      </c>
      <c r="H42" s="12">
        <v>46353</v>
      </c>
      <c r="I42" s="12">
        <f t="shared" si="1"/>
        <v>46353</v>
      </c>
      <c r="J42" s="11" t="s">
        <v>119</v>
      </c>
    </row>
    <row r="43" spans="1:10" ht="23.1" x14ac:dyDescent="0.25">
      <c r="A43" s="10" t="s">
        <v>120</v>
      </c>
      <c r="B43" s="11" t="s">
        <v>121</v>
      </c>
      <c r="C43" s="10" t="s">
        <v>105</v>
      </c>
      <c r="D43" s="10" t="s">
        <v>15</v>
      </c>
      <c r="E43" s="10">
        <v>2</v>
      </c>
      <c r="F43" s="11" t="s">
        <v>116</v>
      </c>
      <c r="G43" s="10" t="s">
        <v>38</v>
      </c>
      <c r="H43" s="12">
        <v>46356</v>
      </c>
      <c r="I43" s="12">
        <f t="shared" si="1"/>
        <v>46357</v>
      </c>
      <c r="J43" s="11" t="s">
        <v>16</v>
      </c>
    </row>
    <row r="44" spans="1:10" ht="23.1" x14ac:dyDescent="0.25">
      <c r="A44" s="19" t="s">
        <v>122</v>
      </c>
      <c r="B44" s="20" t="s">
        <v>123</v>
      </c>
      <c r="C44" s="19" t="s">
        <v>124</v>
      </c>
      <c r="D44" s="19" t="s">
        <v>15</v>
      </c>
      <c r="E44" s="19">
        <v>1</v>
      </c>
      <c r="F44" s="20" t="s">
        <v>120</v>
      </c>
      <c r="G44" s="19" t="s">
        <v>38</v>
      </c>
      <c r="H44" s="21">
        <v>46358</v>
      </c>
      <c r="I44" s="21">
        <f t="shared" si="1"/>
        <v>46358</v>
      </c>
      <c r="J44" s="20" t="s">
        <v>16</v>
      </c>
    </row>
    <row r="45" spans="1:10" ht="34.65" x14ac:dyDescent="0.25">
      <c r="A45" s="22" t="s">
        <v>125</v>
      </c>
      <c r="B45" s="23" t="s">
        <v>126</v>
      </c>
      <c r="C45" s="22" t="s">
        <v>33</v>
      </c>
      <c r="D45" s="24" t="s">
        <v>127</v>
      </c>
      <c r="E45" s="22">
        <v>3</v>
      </c>
      <c r="F45" s="23" t="s">
        <v>16</v>
      </c>
      <c r="G45" s="22" t="s">
        <v>38</v>
      </c>
      <c r="H45" s="25">
        <v>46272</v>
      </c>
      <c r="I45" s="25">
        <f t="shared" si="1"/>
        <v>46274</v>
      </c>
      <c r="J45" s="23" t="s">
        <v>128</v>
      </c>
    </row>
    <row r="46" spans="1:10" ht="23.1" x14ac:dyDescent="0.25">
      <c r="A46" s="22" t="s">
        <v>129</v>
      </c>
      <c r="B46" s="23" t="s">
        <v>130</v>
      </c>
      <c r="C46" s="22" t="s">
        <v>131</v>
      </c>
      <c r="D46" s="24" t="s">
        <v>127</v>
      </c>
      <c r="E46" s="22">
        <v>1</v>
      </c>
      <c r="F46" s="23" t="s">
        <v>132</v>
      </c>
      <c r="G46" s="22" t="s">
        <v>17</v>
      </c>
      <c r="H46" s="25">
        <v>46286</v>
      </c>
      <c r="I46" s="25">
        <f t="shared" si="1"/>
        <v>46286</v>
      </c>
      <c r="J46" s="23" t="s">
        <v>133</v>
      </c>
    </row>
    <row r="47" spans="1:10" ht="23.1" x14ac:dyDescent="0.25">
      <c r="A47" s="22" t="s">
        <v>134</v>
      </c>
      <c r="B47" s="23" t="s">
        <v>135</v>
      </c>
      <c r="C47" s="22" t="s">
        <v>131</v>
      </c>
      <c r="D47" s="24" t="s">
        <v>127</v>
      </c>
      <c r="E47" s="22">
        <v>0.5</v>
      </c>
      <c r="F47" s="23" t="s">
        <v>129</v>
      </c>
      <c r="G47" s="22" t="s">
        <v>38</v>
      </c>
      <c r="H47" s="25">
        <v>46287</v>
      </c>
      <c r="I47" s="25">
        <f t="shared" si="1"/>
        <v>46286</v>
      </c>
      <c r="J47" s="23" t="s">
        <v>16</v>
      </c>
    </row>
    <row r="48" spans="1:10" ht="23.1" x14ac:dyDescent="0.25">
      <c r="A48" s="22" t="s">
        <v>136</v>
      </c>
      <c r="B48" s="23" t="s">
        <v>137</v>
      </c>
      <c r="C48" s="22" t="s">
        <v>138</v>
      </c>
      <c r="D48" s="24" t="s">
        <v>127</v>
      </c>
      <c r="E48" s="22">
        <v>1.5</v>
      </c>
      <c r="F48" s="23" t="s">
        <v>139</v>
      </c>
      <c r="G48" s="22" t="s">
        <v>17</v>
      </c>
      <c r="H48" s="25">
        <v>46311</v>
      </c>
      <c r="I48" s="25">
        <f t="shared" si="1"/>
        <v>46311</v>
      </c>
      <c r="J48" s="23" t="s">
        <v>140</v>
      </c>
    </row>
    <row r="49" spans="1:10" x14ac:dyDescent="0.25">
      <c r="A49" s="22" t="s">
        <v>141</v>
      </c>
      <c r="B49" s="23" t="s">
        <v>142</v>
      </c>
      <c r="C49" s="22" t="s">
        <v>138</v>
      </c>
      <c r="D49" s="24" t="s">
        <v>127</v>
      </c>
      <c r="E49" s="22">
        <v>1</v>
      </c>
      <c r="F49" s="23" t="s">
        <v>143</v>
      </c>
      <c r="G49" s="22" t="s">
        <v>17</v>
      </c>
      <c r="H49" s="25">
        <v>46314</v>
      </c>
      <c r="I49" s="25">
        <f t="shared" si="1"/>
        <v>46314</v>
      </c>
      <c r="J49" s="23" t="s">
        <v>16</v>
      </c>
    </row>
    <row r="50" spans="1:10" x14ac:dyDescent="0.25">
      <c r="A50" s="22" t="s">
        <v>144</v>
      </c>
      <c r="B50" s="23" t="s">
        <v>145</v>
      </c>
      <c r="C50" s="22" t="s">
        <v>138</v>
      </c>
      <c r="D50" s="24" t="s">
        <v>127</v>
      </c>
      <c r="E50" s="22">
        <v>2</v>
      </c>
      <c r="F50" s="23" t="s">
        <v>143</v>
      </c>
      <c r="G50" s="22" t="s">
        <v>17</v>
      </c>
      <c r="H50" s="25">
        <v>46315</v>
      </c>
      <c r="I50" s="25">
        <f t="shared" si="1"/>
        <v>46316</v>
      </c>
      <c r="J50" s="23" t="s">
        <v>16</v>
      </c>
    </row>
    <row r="51" spans="1:10" x14ac:dyDescent="0.25">
      <c r="A51" s="22" t="s">
        <v>146</v>
      </c>
      <c r="B51" s="23" t="s">
        <v>147</v>
      </c>
      <c r="C51" s="22" t="s">
        <v>138</v>
      </c>
      <c r="D51" s="24" t="s">
        <v>127</v>
      </c>
      <c r="E51" s="22">
        <v>2</v>
      </c>
      <c r="F51" s="23" t="s">
        <v>143</v>
      </c>
      <c r="G51" s="22" t="s">
        <v>17</v>
      </c>
      <c r="H51" s="25">
        <v>46317</v>
      </c>
      <c r="I51" s="25">
        <f t="shared" si="1"/>
        <v>46318</v>
      </c>
      <c r="J51" s="23" t="s">
        <v>16</v>
      </c>
    </row>
    <row r="52" spans="1:10" ht="23.1" x14ac:dyDescent="0.25">
      <c r="A52" s="22" t="s">
        <v>148</v>
      </c>
      <c r="B52" s="23" t="s">
        <v>149</v>
      </c>
      <c r="C52" s="22" t="s">
        <v>138</v>
      </c>
      <c r="D52" s="24" t="s">
        <v>127</v>
      </c>
      <c r="E52" s="22">
        <v>1</v>
      </c>
      <c r="F52" s="23" t="s">
        <v>150</v>
      </c>
      <c r="G52" s="22" t="s">
        <v>38</v>
      </c>
      <c r="H52" s="25">
        <v>46321</v>
      </c>
      <c r="I52" s="25">
        <f t="shared" si="1"/>
        <v>46321</v>
      </c>
      <c r="J52" s="23" t="s">
        <v>16</v>
      </c>
    </row>
    <row r="53" spans="1:10" ht="23.1" x14ac:dyDescent="0.25">
      <c r="A53" s="22" t="s">
        <v>151</v>
      </c>
      <c r="B53" s="23" t="s">
        <v>152</v>
      </c>
      <c r="C53" s="22" t="s">
        <v>153</v>
      </c>
      <c r="D53" s="24" t="s">
        <v>127</v>
      </c>
      <c r="E53" s="22">
        <v>2</v>
      </c>
      <c r="F53" s="23" t="s">
        <v>154</v>
      </c>
      <c r="G53" s="22" t="s">
        <v>17</v>
      </c>
      <c r="H53" s="25">
        <v>46335</v>
      </c>
      <c r="I53" s="25">
        <f t="shared" si="1"/>
        <v>46336</v>
      </c>
      <c r="J53" s="23" t="s">
        <v>155</v>
      </c>
    </row>
    <row r="54" spans="1:10" x14ac:dyDescent="0.25">
      <c r="A54" s="22" t="s">
        <v>156</v>
      </c>
      <c r="B54" s="23" t="s">
        <v>157</v>
      </c>
      <c r="C54" s="22" t="s">
        <v>153</v>
      </c>
      <c r="D54" s="24" t="s">
        <v>127</v>
      </c>
      <c r="E54" s="22">
        <v>1.5</v>
      </c>
      <c r="F54" s="23" t="s">
        <v>154</v>
      </c>
      <c r="G54" s="22" t="s">
        <v>17</v>
      </c>
      <c r="H54" s="25">
        <v>46337</v>
      </c>
      <c r="I54" s="25">
        <f t="shared" si="1"/>
        <v>46337</v>
      </c>
      <c r="J54" s="23" t="s">
        <v>16</v>
      </c>
    </row>
    <row r="55" spans="1:10" x14ac:dyDescent="0.25">
      <c r="A55" s="22" t="s">
        <v>158</v>
      </c>
      <c r="B55" s="23" t="s">
        <v>159</v>
      </c>
      <c r="C55" s="22" t="s">
        <v>153</v>
      </c>
      <c r="D55" s="24" t="s">
        <v>127</v>
      </c>
      <c r="E55" s="22">
        <v>2</v>
      </c>
      <c r="F55" s="23" t="s">
        <v>154</v>
      </c>
      <c r="G55" s="22" t="s">
        <v>17</v>
      </c>
      <c r="H55" s="25">
        <v>46338</v>
      </c>
      <c r="I55" s="25">
        <f t="shared" si="1"/>
        <v>46339</v>
      </c>
      <c r="J55" s="23" t="s">
        <v>16</v>
      </c>
    </row>
    <row r="56" spans="1:10" ht="23.1" x14ac:dyDescent="0.25">
      <c r="A56" s="22" t="s">
        <v>160</v>
      </c>
      <c r="B56" s="23" t="s">
        <v>161</v>
      </c>
      <c r="C56" s="22" t="s">
        <v>153</v>
      </c>
      <c r="D56" s="24" t="s">
        <v>127</v>
      </c>
      <c r="E56" s="22">
        <v>1.5</v>
      </c>
      <c r="F56" s="23" t="s">
        <v>154</v>
      </c>
      <c r="G56" s="22" t="s">
        <v>17</v>
      </c>
      <c r="H56" s="25">
        <v>46342</v>
      </c>
      <c r="I56" s="25">
        <f t="shared" si="1"/>
        <v>46342</v>
      </c>
      <c r="J56" s="23" t="s">
        <v>162</v>
      </c>
    </row>
    <row r="57" spans="1:10" x14ac:dyDescent="0.25">
      <c r="A57" s="22" t="s">
        <v>163</v>
      </c>
      <c r="B57" s="23" t="s">
        <v>164</v>
      </c>
      <c r="C57" s="22" t="s">
        <v>153</v>
      </c>
      <c r="D57" s="24" t="s">
        <v>127</v>
      </c>
      <c r="E57" s="22">
        <v>2</v>
      </c>
      <c r="F57" s="23" t="s">
        <v>154</v>
      </c>
      <c r="G57" s="22" t="s">
        <v>17</v>
      </c>
      <c r="H57" s="25">
        <v>46343</v>
      </c>
      <c r="I57" s="25">
        <f t="shared" si="1"/>
        <v>46344</v>
      </c>
      <c r="J57" s="23" t="s">
        <v>16</v>
      </c>
    </row>
    <row r="58" spans="1:10" ht="23.1" x14ac:dyDescent="0.25">
      <c r="A58" s="22" t="s">
        <v>165</v>
      </c>
      <c r="B58" s="23" t="s">
        <v>166</v>
      </c>
      <c r="C58" s="22" t="s">
        <v>153</v>
      </c>
      <c r="D58" s="24" t="s">
        <v>127</v>
      </c>
      <c r="E58" s="22">
        <v>1</v>
      </c>
      <c r="F58" s="23" t="s">
        <v>167</v>
      </c>
      <c r="G58" s="22" t="s">
        <v>38</v>
      </c>
      <c r="H58" s="25">
        <v>46345</v>
      </c>
      <c r="I58" s="25">
        <f t="shared" si="1"/>
        <v>46345</v>
      </c>
      <c r="J58" s="23" t="s">
        <v>16</v>
      </c>
    </row>
    <row r="59" spans="1:10" ht="23.1" x14ac:dyDescent="0.25">
      <c r="A59" s="22" t="s">
        <v>168</v>
      </c>
      <c r="B59" s="23" t="s">
        <v>169</v>
      </c>
      <c r="C59" s="22" t="s">
        <v>170</v>
      </c>
      <c r="D59" s="24" t="s">
        <v>127</v>
      </c>
      <c r="E59" s="22">
        <v>1.5</v>
      </c>
      <c r="F59" s="23" t="s">
        <v>171</v>
      </c>
      <c r="G59" s="22" t="s">
        <v>17</v>
      </c>
      <c r="H59" s="25">
        <v>46356</v>
      </c>
      <c r="I59" s="25">
        <f t="shared" si="1"/>
        <v>46356</v>
      </c>
      <c r="J59" s="23" t="s">
        <v>172</v>
      </c>
    </row>
    <row r="60" spans="1:10" ht="23.1" x14ac:dyDescent="0.25">
      <c r="A60" s="22" t="s">
        <v>173</v>
      </c>
      <c r="B60" s="23" t="s">
        <v>174</v>
      </c>
      <c r="C60" s="22" t="s">
        <v>170</v>
      </c>
      <c r="D60" s="24" t="s">
        <v>127</v>
      </c>
      <c r="E60" s="22">
        <v>1</v>
      </c>
      <c r="F60" s="23" t="s">
        <v>171</v>
      </c>
      <c r="G60" s="22" t="s">
        <v>17</v>
      </c>
      <c r="H60" s="25">
        <v>46357</v>
      </c>
      <c r="I60" s="25">
        <f t="shared" si="1"/>
        <v>46357</v>
      </c>
      <c r="J60" s="23" t="s">
        <v>16</v>
      </c>
    </row>
    <row r="61" spans="1:10" ht="23.1" x14ac:dyDescent="0.25">
      <c r="A61" s="22" t="s">
        <v>175</v>
      </c>
      <c r="B61" s="23" t="s">
        <v>176</v>
      </c>
      <c r="C61" s="22" t="s">
        <v>170</v>
      </c>
      <c r="D61" s="24" t="s">
        <v>127</v>
      </c>
      <c r="E61" s="22">
        <v>2</v>
      </c>
      <c r="F61" s="23" t="s">
        <v>171</v>
      </c>
      <c r="G61" s="22" t="s">
        <v>17</v>
      </c>
      <c r="H61" s="25">
        <v>46358</v>
      </c>
      <c r="I61" s="25">
        <f t="shared" si="1"/>
        <v>46359</v>
      </c>
      <c r="J61" s="23" t="s">
        <v>16</v>
      </c>
    </row>
    <row r="62" spans="1:10" ht="23.1" x14ac:dyDescent="0.25">
      <c r="A62" s="22" t="s">
        <v>177</v>
      </c>
      <c r="B62" s="23" t="s">
        <v>178</v>
      </c>
      <c r="C62" s="22" t="s">
        <v>170</v>
      </c>
      <c r="D62" s="24" t="s">
        <v>127</v>
      </c>
      <c r="E62" s="22">
        <v>1.5</v>
      </c>
      <c r="F62" s="23" t="s">
        <v>179</v>
      </c>
      <c r="G62" s="22" t="s">
        <v>38</v>
      </c>
      <c r="H62" s="25">
        <v>46360</v>
      </c>
      <c r="I62" s="25">
        <f t="shared" si="1"/>
        <v>46360</v>
      </c>
      <c r="J62" s="23" t="s">
        <v>180</v>
      </c>
    </row>
    <row r="65" spans="1:10" x14ac:dyDescent="0.25">
      <c r="A65" s="26" t="s">
        <v>181</v>
      </c>
    </row>
    <row r="66" spans="1:10" x14ac:dyDescent="0.25">
      <c r="A66" s="26" t="s">
        <v>5</v>
      </c>
      <c r="B66" s="26" t="s">
        <v>182</v>
      </c>
    </row>
    <row r="67" spans="1:10" x14ac:dyDescent="0.25">
      <c r="A67" t="s">
        <v>15</v>
      </c>
      <c r="B67">
        <f>SUMIFS(E5:E62,D5:D62,A67)</f>
        <v>71</v>
      </c>
    </row>
    <row r="68" spans="1:10" x14ac:dyDescent="0.25">
      <c r="A68" t="s">
        <v>127</v>
      </c>
      <c r="B68">
        <f>SUMIFS(E5:E62,D5:D62,A68)</f>
        <v>28</v>
      </c>
    </row>
    <row r="69" spans="1:10" x14ac:dyDescent="0.25">
      <c r="A69" s="26" t="s">
        <v>183</v>
      </c>
      <c r="B69" s="26">
        <f>SUM(B67:B68)</f>
        <v>99</v>
      </c>
    </row>
    <row r="71" spans="1:10" ht="30.1" customHeight="1" x14ac:dyDescent="0.25">
      <c r="A71" s="2" t="s">
        <v>184</v>
      </c>
      <c r="B71" s="2"/>
      <c r="C71" s="2"/>
      <c r="D71" s="2"/>
      <c r="E71" s="2"/>
      <c r="F71" s="2"/>
      <c r="G71" s="2"/>
      <c r="H71" s="2"/>
      <c r="I71" s="2"/>
      <c r="J71" s="2"/>
    </row>
    <row r="73" spans="1:10" ht="59.95" customHeight="1" x14ac:dyDescent="0.25">
      <c r="A73" s="2" t="s">
        <v>185</v>
      </c>
      <c r="B73" s="2"/>
      <c r="C73" s="2"/>
      <c r="D73" s="2"/>
      <c r="E73" s="2"/>
      <c r="F73" s="2"/>
      <c r="G73" s="2"/>
      <c r="H73" s="2"/>
      <c r="I73" s="2"/>
      <c r="J73" s="2"/>
    </row>
  </sheetData>
  <mergeCells count="4">
    <mergeCell ref="A1:K1"/>
    <mergeCell ref="A2:K2"/>
    <mergeCell ref="A71:J71"/>
    <mergeCell ref="A73:J73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C1-Internal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43" sqref="G43"/>
    </sheetView>
  </sheetViews>
  <sheetFormatPr baseColWidth="10" defaultColWidth="8.625" defaultRowHeight="14.3" x14ac:dyDescent="0.25"/>
  <cols>
    <col min="1" max="1" width="8" customWidth="1"/>
    <col min="2" max="2" width="129.625" bestFit="1" customWidth="1"/>
    <col min="3" max="3" width="18" customWidth="1"/>
    <col min="4" max="16" width="4" customWidth="1"/>
  </cols>
  <sheetData>
    <row r="1" spans="1:16" ht="18.350000000000001" x14ac:dyDescent="0.3">
      <c r="A1" s="5" t="s">
        <v>186</v>
      </c>
    </row>
    <row r="3" spans="1:16" ht="25.85" x14ac:dyDescent="0.25">
      <c r="A3" s="27" t="s">
        <v>2</v>
      </c>
      <c r="B3" s="27" t="s">
        <v>3</v>
      </c>
      <c r="C3" s="27" t="s">
        <v>5</v>
      </c>
      <c r="D3" s="28">
        <v>46272</v>
      </c>
      <c r="E3" s="28">
        <v>46279</v>
      </c>
      <c r="F3" s="28">
        <v>46286</v>
      </c>
      <c r="G3" s="28">
        <v>46293</v>
      </c>
      <c r="H3" s="28">
        <v>46300</v>
      </c>
      <c r="I3" s="28">
        <v>46307</v>
      </c>
      <c r="J3" s="28">
        <v>46314</v>
      </c>
      <c r="K3" s="28">
        <v>46321</v>
      </c>
      <c r="L3" s="28">
        <v>46328</v>
      </c>
      <c r="M3" s="28">
        <v>46335</v>
      </c>
      <c r="N3" s="28">
        <v>46342</v>
      </c>
      <c r="O3" s="28">
        <v>46349</v>
      </c>
      <c r="P3" s="28">
        <v>46356</v>
      </c>
    </row>
    <row r="4" spans="1:16" x14ac:dyDescent="0.25">
      <c r="A4" s="29" t="s">
        <v>12</v>
      </c>
      <c r="B4" s="30" t="s">
        <v>13</v>
      </c>
      <c r="C4" s="31" t="s">
        <v>15</v>
      </c>
      <c r="D4" s="32">
        <f>IF(AND('Plan de tareas'!$H$5&lt;=DATE(2026,9,13),'Plan de tareas'!$I$5&gt;=DATE(2026,9,7)),1,0)</f>
        <v>1</v>
      </c>
      <c r="E4" s="32">
        <f>IF(AND('Plan de tareas'!$H$5&lt;=DATE(2026,9,20),'Plan de tareas'!$I$5&gt;=DATE(2026,9,14)),1,0)</f>
        <v>0</v>
      </c>
      <c r="F4" s="32">
        <f>IF(AND('Plan de tareas'!$H$5&lt;=DATE(2026,9,27),'Plan de tareas'!$I$5&gt;=DATE(2026,9,21)),1,0)</f>
        <v>0</v>
      </c>
      <c r="G4" s="32">
        <f>IF(AND('Plan de tareas'!$H$5&lt;=DATE(2026,10,4),'Plan de tareas'!$I$5&gt;=DATE(2026,9,28)),1,0)</f>
        <v>0</v>
      </c>
      <c r="H4" s="32">
        <f>IF(AND('Plan de tareas'!$H$5&lt;=DATE(2026,10,11),'Plan de tareas'!$I$5&gt;=DATE(2026,10,5)),1,0)</f>
        <v>0</v>
      </c>
      <c r="I4" s="32">
        <f>IF(AND('Plan de tareas'!$H$5&lt;=DATE(2026,10,18),'Plan de tareas'!$I$5&gt;=DATE(2026,10,12)),1,0)</f>
        <v>0</v>
      </c>
      <c r="J4" s="32">
        <f>IF(AND('Plan de tareas'!$H$5&lt;=DATE(2026,10,25),'Plan de tareas'!$I$5&gt;=DATE(2026,10,19)),1,0)</f>
        <v>0</v>
      </c>
      <c r="K4" s="32">
        <f>IF(AND('Plan de tareas'!$H$5&lt;=DATE(2026,11,1),'Plan de tareas'!$I$5&gt;=DATE(2026,10,26)),1,0)</f>
        <v>0</v>
      </c>
      <c r="L4" s="32">
        <f>IF(AND('Plan de tareas'!$H$5&lt;=DATE(2026,11,8),'Plan de tareas'!$I$5&gt;=DATE(2026,11,2)),1,0)</f>
        <v>0</v>
      </c>
      <c r="M4" s="32">
        <f>IF(AND('Plan de tareas'!$H$5&lt;=DATE(2026,11,15),'Plan de tareas'!$I$5&gt;=DATE(2026,11,9)),1,0)</f>
        <v>0</v>
      </c>
      <c r="N4" s="32">
        <f>IF(AND('Plan de tareas'!$H$5&lt;=DATE(2026,11,22),'Plan de tareas'!$I$5&gt;=DATE(2026,11,16)),1,0)</f>
        <v>0</v>
      </c>
      <c r="O4" s="32">
        <f>IF(AND('Plan de tareas'!$H$5&lt;=DATE(2026,11,29),'Plan de tareas'!$I$5&gt;=DATE(2026,11,23)),1,0)</f>
        <v>0</v>
      </c>
      <c r="P4" s="32">
        <f>IF(AND('Plan de tareas'!$H$5&lt;=DATE(2026,12,6),'Plan de tareas'!$I$5&gt;=DATE(2026,11,30)),1,0)</f>
        <v>0</v>
      </c>
    </row>
    <row r="5" spans="1:16" x14ac:dyDescent="0.25">
      <c r="A5" s="29" t="s">
        <v>19</v>
      </c>
      <c r="B5" s="30" t="s">
        <v>20</v>
      </c>
      <c r="C5" s="31" t="s">
        <v>15</v>
      </c>
      <c r="D5" s="32">
        <f>IF(AND('Plan de tareas'!$H$6&lt;=DATE(2026,9,13),'Plan de tareas'!$I$6&gt;=DATE(2026,9,7)),1,0)</f>
        <v>1</v>
      </c>
      <c r="E5" s="32">
        <f>IF(AND('Plan de tareas'!$H$6&lt;=DATE(2026,9,20),'Plan de tareas'!$I$6&gt;=DATE(2026,9,14)),1,0)</f>
        <v>0</v>
      </c>
      <c r="F5" s="32">
        <f>IF(AND('Plan de tareas'!$H$6&lt;=DATE(2026,9,27),'Plan de tareas'!$I$6&gt;=DATE(2026,9,21)),1,0)</f>
        <v>0</v>
      </c>
      <c r="G5" s="32">
        <f>IF(AND('Plan de tareas'!$H$6&lt;=DATE(2026,10,4),'Plan de tareas'!$I$6&gt;=DATE(2026,9,28)),1,0)</f>
        <v>0</v>
      </c>
      <c r="H5" s="32">
        <f>IF(AND('Plan de tareas'!$H$6&lt;=DATE(2026,10,11),'Plan de tareas'!$I$6&gt;=DATE(2026,10,5)),1,0)</f>
        <v>0</v>
      </c>
      <c r="I5" s="32">
        <f>IF(AND('Plan de tareas'!$H$6&lt;=DATE(2026,10,18),'Plan de tareas'!$I$6&gt;=DATE(2026,10,12)),1,0)</f>
        <v>0</v>
      </c>
      <c r="J5" s="32">
        <f>IF(AND('Plan de tareas'!$H$6&lt;=DATE(2026,10,25),'Plan de tareas'!$I$6&gt;=DATE(2026,10,19)),1,0)</f>
        <v>0</v>
      </c>
      <c r="K5" s="32">
        <f>IF(AND('Plan de tareas'!$H$6&lt;=DATE(2026,11,1),'Plan de tareas'!$I$6&gt;=DATE(2026,10,26)),1,0)</f>
        <v>0</v>
      </c>
      <c r="L5" s="32">
        <f>IF(AND('Plan de tareas'!$H$6&lt;=DATE(2026,11,8),'Plan de tareas'!$I$6&gt;=DATE(2026,11,2)),1,0)</f>
        <v>0</v>
      </c>
      <c r="M5" s="32">
        <f>IF(AND('Plan de tareas'!$H$6&lt;=DATE(2026,11,15),'Plan de tareas'!$I$6&gt;=DATE(2026,11,9)),1,0)</f>
        <v>0</v>
      </c>
      <c r="N5" s="32">
        <f>IF(AND('Plan de tareas'!$H$6&lt;=DATE(2026,11,22),'Plan de tareas'!$I$6&gt;=DATE(2026,11,16)),1,0)</f>
        <v>0</v>
      </c>
      <c r="O5" s="32">
        <f>IF(AND('Plan de tareas'!$H$6&lt;=DATE(2026,11,29),'Plan de tareas'!$I$6&gt;=DATE(2026,11,23)),1,0)</f>
        <v>0</v>
      </c>
      <c r="P5" s="32">
        <f>IF(AND('Plan de tareas'!$H$6&lt;=DATE(2026,12,6),'Plan de tareas'!$I$6&gt;=DATE(2026,11,30)),1,0)</f>
        <v>0</v>
      </c>
    </row>
    <row r="6" spans="1:16" x14ac:dyDescent="0.25">
      <c r="A6" s="29" t="s">
        <v>22</v>
      </c>
      <c r="B6" s="30" t="s">
        <v>23</v>
      </c>
      <c r="C6" s="31" t="s">
        <v>15</v>
      </c>
      <c r="D6" s="32">
        <f>IF(AND('Plan de tareas'!$H$7&lt;=DATE(2026,9,13),'Plan de tareas'!$I$7&gt;=DATE(2026,9,7)),1,0)</f>
        <v>1</v>
      </c>
      <c r="E6" s="32">
        <f>IF(AND('Plan de tareas'!$H$7&lt;=DATE(2026,9,20),'Plan de tareas'!$I$7&gt;=DATE(2026,9,14)),1,0)</f>
        <v>0</v>
      </c>
      <c r="F6" s="32">
        <f>IF(AND('Plan de tareas'!$H$7&lt;=DATE(2026,9,27),'Plan de tareas'!$I$7&gt;=DATE(2026,9,21)),1,0)</f>
        <v>0</v>
      </c>
      <c r="G6" s="32">
        <f>IF(AND('Plan de tareas'!$H$7&lt;=DATE(2026,10,4),'Plan de tareas'!$I$7&gt;=DATE(2026,9,28)),1,0)</f>
        <v>0</v>
      </c>
      <c r="H6" s="32">
        <f>IF(AND('Plan de tareas'!$H$7&lt;=DATE(2026,10,11),'Plan de tareas'!$I$7&gt;=DATE(2026,10,5)),1,0)</f>
        <v>0</v>
      </c>
      <c r="I6" s="32">
        <f>IF(AND('Plan de tareas'!$H$7&lt;=DATE(2026,10,18),'Plan de tareas'!$I$7&gt;=DATE(2026,10,12)),1,0)</f>
        <v>0</v>
      </c>
      <c r="J6" s="32">
        <f>IF(AND('Plan de tareas'!$H$7&lt;=DATE(2026,10,25),'Plan de tareas'!$I$7&gt;=DATE(2026,10,19)),1,0)</f>
        <v>0</v>
      </c>
      <c r="K6" s="32">
        <f>IF(AND('Plan de tareas'!$H$7&lt;=DATE(2026,11,1),'Plan de tareas'!$I$7&gt;=DATE(2026,10,26)),1,0)</f>
        <v>0</v>
      </c>
      <c r="L6" s="32">
        <f>IF(AND('Plan de tareas'!$H$7&lt;=DATE(2026,11,8),'Plan de tareas'!$I$7&gt;=DATE(2026,11,2)),1,0)</f>
        <v>0</v>
      </c>
      <c r="M6" s="32">
        <f>IF(AND('Plan de tareas'!$H$7&lt;=DATE(2026,11,15),'Plan de tareas'!$I$7&gt;=DATE(2026,11,9)),1,0)</f>
        <v>0</v>
      </c>
      <c r="N6" s="32">
        <f>IF(AND('Plan de tareas'!$H$7&lt;=DATE(2026,11,22),'Plan de tareas'!$I$7&gt;=DATE(2026,11,16)),1,0)</f>
        <v>0</v>
      </c>
      <c r="O6" s="32">
        <f>IF(AND('Plan de tareas'!$H$7&lt;=DATE(2026,11,29),'Plan de tareas'!$I$7&gt;=DATE(2026,11,23)),1,0)</f>
        <v>0</v>
      </c>
      <c r="P6" s="32">
        <f>IF(AND('Plan de tareas'!$H$7&lt;=DATE(2026,12,6),'Plan de tareas'!$I$7&gt;=DATE(2026,11,30)),1,0)</f>
        <v>0</v>
      </c>
    </row>
    <row r="7" spans="1:16" x14ac:dyDescent="0.25">
      <c r="A7" s="29" t="s">
        <v>25</v>
      </c>
      <c r="B7" s="30" t="s">
        <v>26</v>
      </c>
      <c r="C7" s="31" t="s">
        <v>15</v>
      </c>
      <c r="D7" s="32">
        <f>IF(AND('Plan de tareas'!$H$8&lt;=DATE(2026,9,13),'Plan de tareas'!$I$8&gt;=DATE(2026,9,7)),1,0)</f>
        <v>1</v>
      </c>
      <c r="E7" s="32">
        <f>IF(AND('Plan de tareas'!$H$8&lt;=DATE(2026,9,20),'Plan de tareas'!$I$8&gt;=DATE(2026,9,14)),1,0)</f>
        <v>0</v>
      </c>
      <c r="F7" s="32">
        <f>IF(AND('Plan de tareas'!$H$8&lt;=DATE(2026,9,27),'Plan de tareas'!$I$8&gt;=DATE(2026,9,21)),1,0)</f>
        <v>0</v>
      </c>
      <c r="G7" s="32">
        <f>IF(AND('Plan de tareas'!$H$8&lt;=DATE(2026,10,4),'Plan de tareas'!$I$8&gt;=DATE(2026,9,28)),1,0)</f>
        <v>0</v>
      </c>
      <c r="H7" s="32">
        <f>IF(AND('Plan de tareas'!$H$8&lt;=DATE(2026,10,11),'Plan de tareas'!$I$8&gt;=DATE(2026,10,5)),1,0)</f>
        <v>0</v>
      </c>
      <c r="I7" s="32">
        <f>IF(AND('Plan de tareas'!$H$8&lt;=DATE(2026,10,18),'Plan de tareas'!$I$8&gt;=DATE(2026,10,12)),1,0)</f>
        <v>0</v>
      </c>
      <c r="J7" s="32">
        <f>IF(AND('Plan de tareas'!$H$8&lt;=DATE(2026,10,25),'Plan de tareas'!$I$8&gt;=DATE(2026,10,19)),1,0)</f>
        <v>0</v>
      </c>
      <c r="K7" s="32">
        <f>IF(AND('Plan de tareas'!$H$8&lt;=DATE(2026,11,1),'Plan de tareas'!$I$8&gt;=DATE(2026,10,26)),1,0)</f>
        <v>0</v>
      </c>
      <c r="L7" s="32">
        <f>IF(AND('Plan de tareas'!$H$8&lt;=DATE(2026,11,8),'Plan de tareas'!$I$8&gt;=DATE(2026,11,2)),1,0)</f>
        <v>0</v>
      </c>
      <c r="M7" s="32">
        <f>IF(AND('Plan de tareas'!$H$8&lt;=DATE(2026,11,15),'Plan de tareas'!$I$8&gt;=DATE(2026,11,9)),1,0)</f>
        <v>0</v>
      </c>
      <c r="N7" s="32">
        <f>IF(AND('Plan de tareas'!$H$8&lt;=DATE(2026,11,22),'Plan de tareas'!$I$8&gt;=DATE(2026,11,16)),1,0)</f>
        <v>0</v>
      </c>
      <c r="O7" s="32">
        <f>IF(AND('Plan de tareas'!$H$8&lt;=DATE(2026,11,29),'Plan de tareas'!$I$8&gt;=DATE(2026,11,23)),1,0)</f>
        <v>0</v>
      </c>
      <c r="P7" s="32">
        <f>IF(AND('Plan de tareas'!$H$8&lt;=DATE(2026,12,6),'Plan de tareas'!$I$8&gt;=DATE(2026,11,30)),1,0)</f>
        <v>0</v>
      </c>
    </row>
    <row r="8" spans="1:16" x14ac:dyDescent="0.25">
      <c r="A8" s="29" t="s">
        <v>28</v>
      </c>
      <c r="B8" s="30" t="s">
        <v>29</v>
      </c>
      <c r="C8" s="31" t="s">
        <v>15</v>
      </c>
      <c r="D8" s="32">
        <f>IF(AND('Plan de tareas'!$H$9&lt;=DATE(2026,9,13),'Plan de tareas'!$I$9&gt;=DATE(2026,9,7)),1,0)</f>
        <v>1</v>
      </c>
      <c r="E8" s="32">
        <f>IF(AND('Plan de tareas'!$H$9&lt;=DATE(2026,9,20),'Plan de tareas'!$I$9&gt;=DATE(2026,9,14)),1,0)</f>
        <v>0</v>
      </c>
      <c r="F8" s="32">
        <f>IF(AND('Plan de tareas'!$H$9&lt;=DATE(2026,9,27),'Plan de tareas'!$I$9&gt;=DATE(2026,9,21)),1,0)</f>
        <v>0</v>
      </c>
      <c r="G8" s="32">
        <f>IF(AND('Plan de tareas'!$H$9&lt;=DATE(2026,10,4),'Plan de tareas'!$I$9&gt;=DATE(2026,9,28)),1,0)</f>
        <v>0</v>
      </c>
      <c r="H8" s="32">
        <f>IF(AND('Plan de tareas'!$H$9&lt;=DATE(2026,10,11),'Plan de tareas'!$I$9&gt;=DATE(2026,10,5)),1,0)</f>
        <v>0</v>
      </c>
      <c r="I8" s="32">
        <f>IF(AND('Plan de tareas'!$H$9&lt;=DATE(2026,10,18),'Plan de tareas'!$I$9&gt;=DATE(2026,10,12)),1,0)</f>
        <v>0</v>
      </c>
      <c r="J8" s="32">
        <f>IF(AND('Plan de tareas'!$H$9&lt;=DATE(2026,10,25),'Plan de tareas'!$I$9&gt;=DATE(2026,10,19)),1,0)</f>
        <v>0</v>
      </c>
      <c r="K8" s="32">
        <f>IF(AND('Plan de tareas'!$H$9&lt;=DATE(2026,11,1),'Plan de tareas'!$I$9&gt;=DATE(2026,10,26)),1,0)</f>
        <v>0</v>
      </c>
      <c r="L8" s="32">
        <f>IF(AND('Plan de tareas'!$H$9&lt;=DATE(2026,11,8),'Plan de tareas'!$I$9&gt;=DATE(2026,11,2)),1,0)</f>
        <v>0</v>
      </c>
      <c r="M8" s="32">
        <f>IF(AND('Plan de tareas'!$H$9&lt;=DATE(2026,11,15),'Plan de tareas'!$I$9&gt;=DATE(2026,11,9)),1,0)</f>
        <v>0</v>
      </c>
      <c r="N8" s="32">
        <f>IF(AND('Plan de tareas'!$H$9&lt;=DATE(2026,11,22),'Plan de tareas'!$I$9&gt;=DATE(2026,11,16)),1,0)</f>
        <v>0</v>
      </c>
      <c r="O8" s="32">
        <f>IF(AND('Plan de tareas'!$H$9&lt;=DATE(2026,11,29),'Plan de tareas'!$I$9&gt;=DATE(2026,11,23)),1,0)</f>
        <v>0</v>
      </c>
      <c r="P8" s="32">
        <f>IF(AND('Plan de tareas'!$H$9&lt;=DATE(2026,12,6),'Plan de tareas'!$I$9&gt;=DATE(2026,11,30)),1,0)</f>
        <v>0</v>
      </c>
    </row>
    <row r="9" spans="1:16" x14ac:dyDescent="0.25">
      <c r="A9" s="33" t="s">
        <v>31</v>
      </c>
      <c r="B9" s="34" t="s">
        <v>32</v>
      </c>
      <c r="C9" s="35" t="s">
        <v>15</v>
      </c>
      <c r="D9" s="32">
        <f>IF(AND('Plan de tareas'!$H$10&lt;=DATE(2026,9,13),'Plan de tareas'!$I$10&gt;=DATE(2026,9,7)),1,0)</f>
        <v>0</v>
      </c>
      <c r="E9" s="32">
        <f>IF(AND('Plan de tareas'!$H$10&lt;=DATE(2026,9,20),'Plan de tareas'!$I$10&gt;=DATE(2026,9,14)),1,0)</f>
        <v>0</v>
      </c>
      <c r="F9" s="32">
        <f>IF(AND('Plan de tareas'!$H$10&lt;=DATE(2026,9,27),'Plan de tareas'!$I$10&gt;=DATE(2026,9,21)),1,0)</f>
        <v>0</v>
      </c>
      <c r="G9" s="32">
        <f>IF(AND('Plan de tareas'!$H$10&lt;=DATE(2026,10,4),'Plan de tareas'!$I$10&gt;=DATE(2026,9,28)),1,0)</f>
        <v>0</v>
      </c>
      <c r="H9" s="32">
        <f>IF(AND('Plan de tareas'!$H$10&lt;=DATE(2026,10,11),'Plan de tareas'!$I$10&gt;=DATE(2026,10,5)),1,0)</f>
        <v>0</v>
      </c>
      <c r="I9" s="32">
        <f>IF(AND('Plan de tareas'!$H$10&lt;=DATE(2026,10,18),'Plan de tareas'!$I$10&gt;=DATE(2026,10,12)),1,0)</f>
        <v>0</v>
      </c>
      <c r="J9" s="32">
        <f>IF(AND('Plan de tareas'!$H$10&lt;=DATE(2026,10,25),'Plan de tareas'!$I$10&gt;=DATE(2026,10,19)),1,0)</f>
        <v>0</v>
      </c>
      <c r="K9" s="32">
        <f>IF(AND('Plan de tareas'!$H$10&lt;=DATE(2026,11,1),'Plan de tareas'!$I$10&gt;=DATE(2026,10,26)),1,0)</f>
        <v>0</v>
      </c>
      <c r="L9" s="32">
        <f>IF(AND('Plan de tareas'!$H$10&lt;=DATE(2026,11,8),'Plan de tareas'!$I$10&gt;=DATE(2026,11,2)),1,0)</f>
        <v>0</v>
      </c>
      <c r="M9" s="32">
        <f>IF(AND('Plan de tareas'!$H$10&lt;=DATE(2026,11,15),'Plan de tareas'!$I$10&gt;=DATE(2026,11,9)),1,0)</f>
        <v>0</v>
      </c>
      <c r="N9" s="32">
        <f>IF(AND('Plan de tareas'!$H$10&lt;=DATE(2026,11,22),'Plan de tareas'!$I$10&gt;=DATE(2026,11,16)),1,0)</f>
        <v>0</v>
      </c>
      <c r="O9" s="32">
        <f>IF(AND('Plan de tareas'!$H$10&lt;=DATE(2026,11,29),'Plan de tareas'!$I$10&gt;=DATE(2026,11,23)),1,0)</f>
        <v>0</v>
      </c>
      <c r="P9" s="32">
        <f>IF(AND('Plan de tareas'!$H$10&lt;=DATE(2026,12,6),'Plan de tareas'!$I$10&gt;=DATE(2026,11,30)),1,0)</f>
        <v>0</v>
      </c>
    </row>
    <row r="10" spans="1:16" x14ac:dyDescent="0.25">
      <c r="A10" s="36" t="s">
        <v>35</v>
      </c>
      <c r="B10" s="37" t="s">
        <v>36</v>
      </c>
      <c r="C10" s="38" t="s">
        <v>15</v>
      </c>
      <c r="D10" s="32">
        <f>IF(AND('Plan de tareas'!$H$11&lt;=DATE(2026,9,13),'Plan de tareas'!$I$11&gt;=DATE(2026,9,7)),1,0)</f>
        <v>1</v>
      </c>
      <c r="E10" s="32">
        <f>IF(AND('Plan de tareas'!$H$11&lt;=DATE(2026,9,20),'Plan de tareas'!$I$11&gt;=DATE(2026,9,14)),1,0)</f>
        <v>0</v>
      </c>
      <c r="F10" s="32">
        <f>IF(AND('Plan de tareas'!$H$11&lt;=DATE(2026,9,27),'Plan de tareas'!$I$11&gt;=DATE(2026,9,21)),1,0)</f>
        <v>0</v>
      </c>
      <c r="G10" s="32">
        <f>IF(AND('Plan de tareas'!$H$11&lt;=DATE(2026,10,4),'Plan de tareas'!$I$11&gt;=DATE(2026,9,28)),1,0)</f>
        <v>0</v>
      </c>
      <c r="H10" s="32">
        <f>IF(AND('Plan de tareas'!$H$11&lt;=DATE(2026,10,11),'Plan de tareas'!$I$11&gt;=DATE(2026,10,5)),1,0)</f>
        <v>0</v>
      </c>
      <c r="I10" s="32">
        <f>IF(AND('Plan de tareas'!$H$11&lt;=DATE(2026,10,18),'Plan de tareas'!$I$11&gt;=DATE(2026,10,12)),1,0)</f>
        <v>0</v>
      </c>
      <c r="J10" s="32">
        <f>IF(AND('Plan de tareas'!$H$11&lt;=DATE(2026,10,25),'Plan de tareas'!$I$11&gt;=DATE(2026,10,19)),1,0)</f>
        <v>0</v>
      </c>
      <c r="K10" s="32">
        <f>IF(AND('Plan de tareas'!$H$11&lt;=DATE(2026,11,1),'Plan de tareas'!$I$11&gt;=DATE(2026,10,26)),1,0)</f>
        <v>0</v>
      </c>
      <c r="L10" s="32">
        <f>IF(AND('Plan de tareas'!$H$11&lt;=DATE(2026,11,8),'Plan de tareas'!$I$11&gt;=DATE(2026,11,2)),1,0)</f>
        <v>0</v>
      </c>
      <c r="M10" s="32">
        <f>IF(AND('Plan de tareas'!$H$11&lt;=DATE(2026,11,15),'Plan de tareas'!$I$11&gt;=DATE(2026,11,9)),1,0)</f>
        <v>0</v>
      </c>
      <c r="N10" s="32">
        <f>IF(AND('Plan de tareas'!$H$11&lt;=DATE(2026,11,22),'Plan de tareas'!$I$11&gt;=DATE(2026,11,16)),1,0)</f>
        <v>0</v>
      </c>
      <c r="O10" s="32">
        <f>IF(AND('Plan de tareas'!$H$11&lt;=DATE(2026,11,29),'Plan de tareas'!$I$11&gt;=DATE(2026,11,23)),1,0)</f>
        <v>0</v>
      </c>
      <c r="P10" s="32">
        <f>IF(AND('Plan de tareas'!$H$11&lt;=DATE(2026,12,6),'Plan de tareas'!$I$11&gt;=DATE(2026,11,30)),1,0)</f>
        <v>0</v>
      </c>
    </row>
    <row r="11" spans="1:16" x14ac:dyDescent="0.25">
      <c r="A11" s="36" t="s">
        <v>39</v>
      </c>
      <c r="B11" s="37" t="s">
        <v>40</v>
      </c>
      <c r="C11" s="38" t="s">
        <v>15</v>
      </c>
      <c r="D11" s="32">
        <f>IF(AND('Plan de tareas'!$H$12&lt;=DATE(2026,9,13),'Plan de tareas'!$I$12&gt;=DATE(2026,9,7)),1,0)</f>
        <v>1</v>
      </c>
      <c r="E11" s="32">
        <f>IF(AND('Plan de tareas'!$H$12&lt;=DATE(2026,9,20),'Plan de tareas'!$I$12&gt;=DATE(2026,9,14)),1,0)</f>
        <v>0</v>
      </c>
      <c r="F11" s="32">
        <f>IF(AND('Plan de tareas'!$H$12&lt;=DATE(2026,9,27),'Plan de tareas'!$I$12&gt;=DATE(2026,9,21)),1,0)</f>
        <v>0</v>
      </c>
      <c r="G11" s="32">
        <f>IF(AND('Plan de tareas'!$H$12&lt;=DATE(2026,10,4),'Plan de tareas'!$I$12&gt;=DATE(2026,9,28)),1,0)</f>
        <v>0</v>
      </c>
      <c r="H11" s="32">
        <f>IF(AND('Plan de tareas'!$H$12&lt;=DATE(2026,10,11),'Plan de tareas'!$I$12&gt;=DATE(2026,10,5)),1,0)</f>
        <v>0</v>
      </c>
      <c r="I11" s="32">
        <f>IF(AND('Plan de tareas'!$H$12&lt;=DATE(2026,10,18),'Plan de tareas'!$I$12&gt;=DATE(2026,10,12)),1,0)</f>
        <v>0</v>
      </c>
      <c r="J11" s="32">
        <f>IF(AND('Plan de tareas'!$H$12&lt;=DATE(2026,10,25),'Plan de tareas'!$I$12&gt;=DATE(2026,10,19)),1,0)</f>
        <v>0</v>
      </c>
      <c r="K11" s="32">
        <f>IF(AND('Plan de tareas'!$H$12&lt;=DATE(2026,11,1),'Plan de tareas'!$I$12&gt;=DATE(2026,10,26)),1,0)</f>
        <v>0</v>
      </c>
      <c r="L11" s="32">
        <f>IF(AND('Plan de tareas'!$H$12&lt;=DATE(2026,11,8),'Plan de tareas'!$I$12&gt;=DATE(2026,11,2)),1,0)</f>
        <v>0</v>
      </c>
      <c r="M11" s="32">
        <f>IF(AND('Plan de tareas'!$H$12&lt;=DATE(2026,11,15),'Plan de tareas'!$I$12&gt;=DATE(2026,11,9)),1,0)</f>
        <v>0</v>
      </c>
      <c r="N11" s="32">
        <f>IF(AND('Plan de tareas'!$H$12&lt;=DATE(2026,11,22),'Plan de tareas'!$I$12&gt;=DATE(2026,11,16)),1,0)</f>
        <v>0</v>
      </c>
      <c r="O11" s="32">
        <f>IF(AND('Plan de tareas'!$H$12&lt;=DATE(2026,11,29),'Plan de tareas'!$I$12&gt;=DATE(2026,11,23)),1,0)</f>
        <v>0</v>
      </c>
      <c r="P11" s="32">
        <f>IF(AND('Plan de tareas'!$H$12&lt;=DATE(2026,12,6),'Plan de tareas'!$I$12&gt;=DATE(2026,11,30)),1,0)</f>
        <v>0</v>
      </c>
    </row>
    <row r="12" spans="1:16" x14ac:dyDescent="0.25">
      <c r="A12" s="36" t="s">
        <v>41</v>
      </c>
      <c r="B12" s="37" t="s">
        <v>42</v>
      </c>
      <c r="C12" s="38" t="s">
        <v>15</v>
      </c>
      <c r="D12" s="32">
        <f>IF(AND('Plan de tareas'!$H$13&lt;=DATE(2026,9,13),'Plan de tareas'!$I$13&gt;=DATE(2026,9,7)),1,0)</f>
        <v>1</v>
      </c>
      <c r="E12" s="32">
        <f>IF(AND('Plan de tareas'!$H$13&lt;=DATE(2026,9,20),'Plan de tareas'!$I$13&gt;=DATE(2026,9,14)),1,0)</f>
        <v>0</v>
      </c>
      <c r="F12" s="32">
        <f>IF(AND('Plan de tareas'!$H$13&lt;=DATE(2026,9,27),'Plan de tareas'!$I$13&gt;=DATE(2026,9,21)),1,0)</f>
        <v>0</v>
      </c>
      <c r="G12" s="32">
        <f>IF(AND('Plan de tareas'!$H$13&lt;=DATE(2026,10,4),'Plan de tareas'!$I$13&gt;=DATE(2026,9,28)),1,0)</f>
        <v>0</v>
      </c>
      <c r="H12" s="32">
        <f>IF(AND('Plan de tareas'!$H$13&lt;=DATE(2026,10,11),'Plan de tareas'!$I$13&gt;=DATE(2026,10,5)),1,0)</f>
        <v>0</v>
      </c>
      <c r="I12" s="32">
        <f>IF(AND('Plan de tareas'!$H$13&lt;=DATE(2026,10,18),'Plan de tareas'!$I$13&gt;=DATE(2026,10,12)),1,0)</f>
        <v>0</v>
      </c>
      <c r="J12" s="32">
        <f>IF(AND('Plan de tareas'!$H$13&lt;=DATE(2026,10,25),'Plan de tareas'!$I$13&gt;=DATE(2026,10,19)),1,0)</f>
        <v>0</v>
      </c>
      <c r="K12" s="32">
        <f>IF(AND('Plan de tareas'!$H$13&lt;=DATE(2026,11,1),'Plan de tareas'!$I$13&gt;=DATE(2026,10,26)),1,0)</f>
        <v>0</v>
      </c>
      <c r="L12" s="32">
        <f>IF(AND('Plan de tareas'!$H$13&lt;=DATE(2026,11,8),'Plan de tareas'!$I$13&gt;=DATE(2026,11,2)),1,0)</f>
        <v>0</v>
      </c>
      <c r="M12" s="32">
        <f>IF(AND('Plan de tareas'!$H$13&lt;=DATE(2026,11,15),'Plan de tareas'!$I$13&gt;=DATE(2026,11,9)),1,0)</f>
        <v>0</v>
      </c>
      <c r="N12" s="32">
        <f>IF(AND('Plan de tareas'!$H$13&lt;=DATE(2026,11,22),'Plan de tareas'!$I$13&gt;=DATE(2026,11,16)),1,0)</f>
        <v>0</v>
      </c>
      <c r="O12" s="32">
        <f>IF(AND('Plan de tareas'!$H$13&lt;=DATE(2026,11,29),'Plan de tareas'!$I$13&gt;=DATE(2026,11,23)),1,0)</f>
        <v>0</v>
      </c>
      <c r="P12" s="32">
        <f>IF(AND('Plan de tareas'!$H$13&lt;=DATE(2026,12,6),'Plan de tareas'!$I$13&gt;=DATE(2026,11,30)),1,0)</f>
        <v>0</v>
      </c>
    </row>
    <row r="13" spans="1:16" x14ac:dyDescent="0.25">
      <c r="A13" s="36" t="s">
        <v>43</v>
      </c>
      <c r="B13" s="37" t="s">
        <v>44</v>
      </c>
      <c r="C13" s="38" t="s">
        <v>15</v>
      </c>
      <c r="D13" s="32">
        <f>IF(AND('Plan de tareas'!$H$14&lt;=DATE(2026,9,13),'Plan de tareas'!$I$14&gt;=DATE(2026,9,7)),1,0)</f>
        <v>1</v>
      </c>
      <c r="E13" s="32">
        <f>IF(AND('Plan de tareas'!$H$14&lt;=DATE(2026,9,20),'Plan de tareas'!$I$14&gt;=DATE(2026,9,14)),1,0)</f>
        <v>0</v>
      </c>
      <c r="F13" s="32">
        <f>IF(AND('Plan de tareas'!$H$14&lt;=DATE(2026,9,27),'Plan de tareas'!$I$14&gt;=DATE(2026,9,21)),1,0)</f>
        <v>0</v>
      </c>
      <c r="G13" s="32">
        <f>IF(AND('Plan de tareas'!$H$14&lt;=DATE(2026,10,4),'Plan de tareas'!$I$14&gt;=DATE(2026,9,28)),1,0)</f>
        <v>0</v>
      </c>
      <c r="H13" s="32">
        <f>IF(AND('Plan de tareas'!$H$14&lt;=DATE(2026,10,11),'Plan de tareas'!$I$14&gt;=DATE(2026,10,5)),1,0)</f>
        <v>0</v>
      </c>
      <c r="I13" s="32">
        <f>IF(AND('Plan de tareas'!$H$14&lt;=DATE(2026,10,18),'Plan de tareas'!$I$14&gt;=DATE(2026,10,12)),1,0)</f>
        <v>0</v>
      </c>
      <c r="J13" s="32">
        <f>IF(AND('Plan de tareas'!$H$14&lt;=DATE(2026,10,25),'Plan de tareas'!$I$14&gt;=DATE(2026,10,19)),1,0)</f>
        <v>0</v>
      </c>
      <c r="K13" s="32">
        <f>IF(AND('Plan de tareas'!$H$14&lt;=DATE(2026,11,1),'Plan de tareas'!$I$14&gt;=DATE(2026,10,26)),1,0)</f>
        <v>0</v>
      </c>
      <c r="L13" s="32">
        <f>IF(AND('Plan de tareas'!$H$14&lt;=DATE(2026,11,8),'Plan de tareas'!$I$14&gt;=DATE(2026,11,2)),1,0)</f>
        <v>0</v>
      </c>
      <c r="M13" s="32">
        <f>IF(AND('Plan de tareas'!$H$14&lt;=DATE(2026,11,15),'Plan de tareas'!$I$14&gt;=DATE(2026,11,9)),1,0)</f>
        <v>0</v>
      </c>
      <c r="N13" s="32">
        <f>IF(AND('Plan de tareas'!$H$14&lt;=DATE(2026,11,22),'Plan de tareas'!$I$14&gt;=DATE(2026,11,16)),1,0)</f>
        <v>0</v>
      </c>
      <c r="O13" s="32">
        <f>IF(AND('Plan de tareas'!$H$14&lt;=DATE(2026,11,29),'Plan de tareas'!$I$14&gt;=DATE(2026,11,23)),1,0)</f>
        <v>0</v>
      </c>
      <c r="P13" s="32">
        <f>IF(AND('Plan de tareas'!$H$14&lt;=DATE(2026,12,6),'Plan de tareas'!$I$14&gt;=DATE(2026,11,30)),1,0)</f>
        <v>0</v>
      </c>
    </row>
    <row r="14" spans="1:16" x14ac:dyDescent="0.25">
      <c r="A14" s="36" t="s">
        <v>45</v>
      </c>
      <c r="B14" s="37" t="s">
        <v>46</v>
      </c>
      <c r="C14" s="38" t="s">
        <v>15</v>
      </c>
      <c r="D14" s="32">
        <f>IF(AND('Plan de tareas'!$H$15&lt;=DATE(2026,9,13),'Plan de tareas'!$I$15&gt;=DATE(2026,9,7)),1,0)</f>
        <v>1</v>
      </c>
      <c r="E14" s="32">
        <f>IF(AND('Plan de tareas'!$H$15&lt;=DATE(2026,9,20),'Plan de tareas'!$I$15&gt;=DATE(2026,9,14)),1,0)</f>
        <v>1</v>
      </c>
      <c r="F14" s="32">
        <f>IF(AND('Plan de tareas'!$H$15&lt;=DATE(2026,9,27),'Plan de tareas'!$I$15&gt;=DATE(2026,9,21)),1,0)</f>
        <v>0</v>
      </c>
      <c r="G14" s="32">
        <f>IF(AND('Plan de tareas'!$H$15&lt;=DATE(2026,10,4),'Plan de tareas'!$I$15&gt;=DATE(2026,9,28)),1,0)</f>
        <v>0</v>
      </c>
      <c r="H14" s="32">
        <f>IF(AND('Plan de tareas'!$H$15&lt;=DATE(2026,10,11),'Plan de tareas'!$I$15&gt;=DATE(2026,10,5)),1,0)</f>
        <v>0</v>
      </c>
      <c r="I14" s="32">
        <f>IF(AND('Plan de tareas'!$H$15&lt;=DATE(2026,10,18),'Plan de tareas'!$I$15&gt;=DATE(2026,10,12)),1,0)</f>
        <v>0</v>
      </c>
      <c r="J14" s="32">
        <f>IF(AND('Plan de tareas'!$H$15&lt;=DATE(2026,10,25),'Plan de tareas'!$I$15&gt;=DATE(2026,10,19)),1,0)</f>
        <v>0</v>
      </c>
      <c r="K14" s="32">
        <f>IF(AND('Plan de tareas'!$H$15&lt;=DATE(2026,11,1),'Plan de tareas'!$I$15&gt;=DATE(2026,10,26)),1,0)</f>
        <v>0</v>
      </c>
      <c r="L14" s="32">
        <f>IF(AND('Plan de tareas'!$H$15&lt;=DATE(2026,11,8),'Plan de tareas'!$I$15&gt;=DATE(2026,11,2)),1,0)</f>
        <v>0</v>
      </c>
      <c r="M14" s="32">
        <f>IF(AND('Plan de tareas'!$H$15&lt;=DATE(2026,11,15),'Plan de tareas'!$I$15&gt;=DATE(2026,11,9)),1,0)</f>
        <v>0</v>
      </c>
      <c r="N14" s="32">
        <f>IF(AND('Plan de tareas'!$H$15&lt;=DATE(2026,11,22),'Plan de tareas'!$I$15&gt;=DATE(2026,11,16)),1,0)</f>
        <v>0</v>
      </c>
      <c r="O14" s="32">
        <f>IF(AND('Plan de tareas'!$H$15&lt;=DATE(2026,11,29),'Plan de tareas'!$I$15&gt;=DATE(2026,11,23)),1,0)</f>
        <v>0</v>
      </c>
      <c r="P14" s="32">
        <f>IF(AND('Plan de tareas'!$H$15&lt;=DATE(2026,12,6),'Plan de tareas'!$I$15&gt;=DATE(2026,11,30)),1,0)</f>
        <v>0</v>
      </c>
    </row>
    <row r="15" spans="1:16" x14ac:dyDescent="0.25">
      <c r="A15" s="36" t="s">
        <v>47</v>
      </c>
      <c r="B15" s="37" t="s">
        <v>48</v>
      </c>
      <c r="C15" s="38" t="s">
        <v>15</v>
      </c>
      <c r="D15" s="32">
        <f>IF(AND('Plan de tareas'!$H$16&lt;=DATE(2026,9,13),'Plan de tareas'!$I$16&gt;=DATE(2026,9,7)),1,0)</f>
        <v>0</v>
      </c>
      <c r="E15" s="32">
        <f>IF(AND('Plan de tareas'!$H$16&lt;=DATE(2026,9,20),'Plan de tareas'!$I$16&gt;=DATE(2026,9,14)),1,0)</f>
        <v>1</v>
      </c>
      <c r="F15" s="32">
        <f>IF(AND('Plan de tareas'!$H$16&lt;=DATE(2026,9,27),'Plan de tareas'!$I$16&gt;=DATE(2026,9,21)),1,0)</f>
        <v>0</v>
      </c>
      <c r="G15" s="32">
        <f>IF(AND('Plan de tareas'!$H$16&lt;=DATE(2026,10,4),'Plan de tareas'!$I$16&gt;=DATE(2026,9,28)),1,0)</f>
        <v>0</v>
      </c>
      <c r="H15" s="32">
        <f>IF(AND('Plan de tareas'!$H$16&lt;=DATE(2026,10,11),'Plan de tareas'!$I$16&gt;=DATE(2026,10,5)),1,0)</f>
        <v>0</v>
      </c>
      <c r="I15" s="32">
        <f>IF(AND('Plan de tareas'!$H$16&lt;=DATE(2026,10,18),'Plan de tareas'!$I$16&gt;=DATE(2026,10,12)),1,0)</f>
        <v>0</v>
      </c>
      <c r="J15" s="32">
        <f>IF(AND('Plan de tareas'!$H$16&lt;=DATE(2026,10,25),'Plan de tareas'!$I$16&gt;=DATE(2026,10,19)),1,0)</f>
        <v>0</v>
      </c>
      <c r="K15" s="32">
        <f>IF(AND('Plan de tareas'!$H$16&lt;=DATE(2026,11,1),'Plan de tareas'!$I$16&gt;=DATE(2026,10,26)),1,0)</f>
        <v>0</v>
      </c>
      <c r="L15" s="32">
        <f>IF(AND('Plan de tareas'!$H$16&lt;=DATE(2026,11,8),'Plan de tareas'!$I$16&gt;=DATE(2026,11,2)),1,0)</f>
        <v>0</v>
      </c>
      <c r="M15" s="32">
        <f>IF(AND('Plan de tareas'!$H$16&lt;=DATE(2026,11,15),'Plan de tareas'!$I$16&gt;=DATE(2026,11,9)),1,0)</f>
        <v>0</v>
      </c>
      <c r="N15" s="32">
        <f>IF(AND('Plan de tareas'!$H$16&lt;=DATE(2026,11,22),'Plan de tareas'!$I$16&gt;=DATE(2026,11,16)),1,0)</f>
        <v>0</v>
      </c>
      <c r="O15" s="32">
        <f>IF(AND('Plan de tareas'!$H$16&lt;=DATE(2026,11,29),'Plan de tareas'!$I$16&gt;=DATE(2026,11,23)),1,0)</f>
        <v>0</v>
      </c>
      <c r="P15" s="32">
        <f>IF(AND('Plan de tareas'!$H$16&lt;=DATE(2026,12,6),'Plan de tareas'!$I$16&gt;=DATE(2026,11,30)),1,0)</f>
        <v>0</v>
      </c>
    </row>
    <row r="16" spans="1:16" x14ac:dyDescent="0.25">
      <c r="A16" s="36" t="s">
        <v>50</v>
      </c>
      <c r="B16" s="37" t="s">
        <v>51</v>
      </c>
      <c r="C16" s="38" t="s">
        <v>15</v>
      </c>
      <c r="D16" s="32">
        <f>IF(AND('Plan de tareas'!$H$17&lt;=DATE(2026,9,13),'Plan de tareas'!$I$17&gt;=DATE(2026,9,7)),1,0)</f>
        <v>0</v>
      </c>
      <c r="E16" s="32">
        <f>IF(AND('Plan de tareas'!$H$17&lt;=DATE(2026,9,20),'Plan de tareas'!$I$17&gt;=DATE(2026,9,14)),1,0)</f>
        <v>1</v>
      </c>
      <c r="F16" s="32">
        <f>IF(AND('Plan de tareas'!$H$17&lt;=DATE(2026,9,27),'Plan de tareas'!$I$17&gt;=DATE(2026,9,21)),1,0)</f>
        <v>0</v>
      </c>
      <c r="G16" s="32">
        <f>IF(AND('Plan de tareas'!$H$17&lt;=DATE(2026,10,4),'Plan de tareas'!$I$17&gt;=DATE(2026,9,28)),1,0)</f>
        <v>0</v>
      </c>
      <c r="H16" s="32">
        <f>IF(AND('Plan de tareas'!$H$17&lt;=DATE(2026,10,11),'Plan de tareas'!$I$17&gt;=DATE(2026,10,5)),1,0)</f>
        <v>0</v>
      </c>
      <c r="I16" s="32">
        <f>IF(AND('Plan de tareas'!$H$17&lt;=DATE(2026,10,18),'Plan de tareas'!$I$17&gt;=DATE(2026,10,12)),1,0)</f>
        <v>0</v>
      </c>
      <c r="J16" s="32">
        <f>IF(AND('Plan de tareas'!$H$17&lt;=DATE(2026,10,25),'Plan de tareas'!$I$17&gt;=DATE(2026,10,19)),1,0)</f>
        <v>0</v>
      </c>
      <c r="K16" s="32">
        <f>IF(AND('Plan de tareas'!$H$17&lt;=DATE(2026,11,1),'Plan de tareas'!$I$17&gt;=DATE(2026,10,26)),1,0)</f>
        <v>0</v>
      </c>
      <c r="L16" s="32">
        <f>IF(AND('Plan de tareas'!$H$17&lt;=DATE(2026,11,8),'Plan de tareas'!$I$17&gt;=DATE(2026,11,2)),1,0)</f>
        <v>0</v>
      </c>
      <c r="M16" s="32">
        <f>IF(AND('Plan de tareas'!$H$17&lt;=DATE(2026,11,15),'Plan de tareas'!$I$17&gt;=DATE(2026,11,9)),1,0)</f>
        <v>0</v>
      </c>
      <c r="N16" s="32">
        <f>IF(AND('Plan de tareas'!$H$17&lt;=DATE(2026,11,22),'Plan de tareas'!$I$17&gt;=DATE(2026,11,16)),1,0)</f>
        <v>0</v>
      </c>
      <c r="O16" s="32">
        <f>IF(AND('Plan de tareas'!$H$17&lt;=DATE(2026,11,29),'Plan de tareas'!$I$17&gt;=DATE(2026,11,23)),1,0)</f>
        <v>0</v>
      </c>
      <c r="P16" s="32">
        <f>IF(AND('Plan de tareas'!$H$17&lt;=DATE(2026,12,6),'Plan de tareas'!$I$17&gt;=DATE(2026,11,30)),1,0)</f>
        <v>0</v>
      </c>
    </row>
    <row r="17" spans="1:16" x14ac:dyDescent="0.25">
      <c r="A17" s="36" t="s">
        <v>52</v>
      </c>
      <c r="B17" s="37" t="s">
        <v>53</v>
      </c>
      <c r="C17" s="38" t="s">
        <v>15</v>
      </c>
      <c r="D17" s="32">
        <f>IF(AND('Plan de tareas'!$H$18&lt;=DATE(2026,9,13),'Plan de tareas'!$I$18&gt;=DATE(2026,9,7)),1,0)</f>
        <v>0</v>
      </c>
      <c r="E17" s="32">
        <f>IF(AND('Plan de tareas'!$H$18&lt;=DATE(2026,9,20),'Plan de tareas'!$I$18&gt;=DATE(2026,9,14)),1,0)</f>
        <v>1</v>
      </c>
      <c r="F17" s="32">
        <f>IF(AND('Plan de tareas'!$H$18&lt;=DATE(2026,9,27),'Plan de tareas'!$I$18&gt;=DATE(2026,9,21)),1,0)</f>
        <v>0</v>
      </c>
      <c r="G17" s="32">
        <f>IF(AND('Plan de tareas'!$H$18&lt;=DATE(2026,10,4),'Plan de tareas'!$I$18&gt;=DATE(2026,9,28)),1,0)</f>
        <v>0</v>
      </c>
      <c r="H17" s="32">
        <f>IF(AND('Plan de tareas'!$H$18&lt;=DATE(2026,10,11),'Plan de tareas'!$I$18&gt;=DATE(2026,10,5)),1,0)</f>
        <v>0</v>
      </c>
      <c r="I17" s="32">
        <f>IF(AND('Plan de tareas'!$H$18&lt;=DATE(2026,10,18),'Plan de tareas'!$I$18&gt;=DATE(2026,10,12)),1,0)</f>
        <v>0</v>
      </c>
      <c r="J17" s="32">
        <f>IF(AND('Plan de tareas'!$H$18&lt;=DATE(2026,10,25),'Plan de tareas'!$I$18&gt;=DATE(2026,10,19)),1,0)</f>
        <v>0</v>
      </c>
      <c r="K17" s="32">
        <f>IF(AND('Plan de tareas'!$H$18&lt;=DATE(2026,11,1),'Plan de tareas'!$I$18&gt;=DATE(2026,10,26)),1,0)</f>
        <v>0</v>
      </c>
      <c r="L17" s="32">
        <f>IF(AND('Plan de tareas'!$H$18&lt;=DATE(2026,11,8),'Plan de tareas'!$I$18&gt;=DATE(2026,11,2)),1,0)</f>
        <v>0</v>
      </c>
      <c r="M17" s="32">
        <f>IF(AND('Plan de tareas'!$H$18&lt;=DATE(2026,11,15),'Plan de tareas'!$I$18&gt;=DATE(2026,11,9)),1,0)</f>
        <v>0</v>
      </c>
      <c r="N17" s="32">
        <f>IF(AND('Plan de tareas'!$H$18&lt;=DATE(2026,11,22),'Plan de tareas'!$I$18&gt;=DATE(2026,11,16)),1,0)</f>
        <v>0</v>
      </c>
      <c r="O17" s="32">
        <f>IF(AND('Plan de tareas'!$H$18&lt;=DATE(2026,11,29),'Plan de tareas'!$I$18&gt;=DATE(2026,11,23)),1,0)</f>
        <v>0</v>
      </c>
      <c r="P17" s="32">
        <f>IF(AND('Plan de tareas'!$H$18&lt;=DATE(2026,12,6),'Plan de tareas'!$I$18&gt;=DATE(2026,11,30)),1,0)</f>
        <v>0</v>
      </c>
    </row>
    <row r="18" spans="1:16" x14ac:dyDescent="0.25">
      <c r="A18" s="36" t="s">
        <v>56</v>
      </c>
      <c r="B18" s="37" t="s">
        <v>57</v>
      </c>
      <c r="C18" s="38" t="s">
        <v>15</v>
      </c>
      <c r="D18" s="32">
        <f>IF(AND('Plan de tareas'!$H$19&lt;=DATE(2026,9,13),'Plan de tareas'!$I$19&gt;=DATE(2026,9,7)),1,0)</f>
        <v>0</v>
      </c>
      <c r="E18" s="32">
        <f>IF(AND('Plan de tareas'!$H$19&lt;=DATE(2026,9,20),'Plan de tareas'!$I$19&gt;=DATE(2026,9,14)),1,0)</f>
        <v>0</v>
      </c>
      <c r="F18" s="32">
        <f>IF(AND('Plan de tareas'!$H$19&lt;=DATE(2026,9,27),'Plan de tareas'!$I$19&gt;=DATE(2026,9,21)),1,0)</f>
        <v>1</v>
      </c>
      <c r="G18" s="32">
        <f>IF(AND('Plan de tareas'!$H$19&lt;=DATE(2026,10,4),'Plan de tareas'!$I$19&gt;=DATE(2026,9,28)),1,0)</f>
        <v>0</v>
      </c>
      <c r="H18" s="32">
        <f>IF(AND('Plan de tareas'!$H$19&lt;=DATE(2026,10,11),'Plan de tareas'!$I$19&gt;=DATE(2026,10,5)),1,0)</f>
        <v>0</v>
      </c>
      <c r="I18" s="32">
        <f>IF(AND('Plan de tareas'!$H$19&lt;=DATE(2026,10,18),'Plan de tareas'!$I$19&gt;=DATE(2026,10,12)),1,0)</f>
        <v>0</v>
      </c>
      <c r="J18" s="32">
        <f>IF(AND('Plan de tareas'!$H$19&lt;=DATE(2026,10,25),'Plan de tareas'!$I$19&gt;=DATE(2026,10,19)),1,0)</f>
        <v>0</v>
      </c>
      <c r="K18" s="32">
        <f>IF(AND('Plan de tareas'!$H$19&lt;=DATE(2026,11,1),'Plan de tareas'!$I$19&gt;=DATE(2026,10,26)),1,0)</f>
        <v>0</v>
      </c>
      <c r="L18" s="32">
        <f>IF(AND('Plan de tareas'!$H$19&lt;=DATE(2026,11,8),'Plan de tareas'!$I$19&gt;=DATE(2026,11,2)),1,0)</f>
        <v>0</v>
      </c>
      <c r="M18" s="32">
        <f>IF(AND('Plan de tareas'!$H$19&lt;=DATE(2026,11,15),'Plan de tareas'!$I$19&gt;=DATE(2026,11,9)),1,0)</f>
        <v>0</v>
      </c>
      <c r="N18" s="32">
        <f>IF(AND('Plan de tareas'!$H$19&lt;=DATE(2026,11,22),'Plan de tareas'!$I$19&gt;=DATE(2026,11,16)),1,0)</f>
        <v>0</v>
      </c>
      <c r="O18" s="32">
        <f>IF(AND('Plan de tareas'!$H$19&lt;=DATE(2026,11,29),'Plan de tareas'!$I$19&gt;=DATE(2026,11,23)),1,0)</f>
        <v>0</v>
      </c>
      <c r="P18" s="32">
        <f>IF(AND('Plan de tareas'!$H$19&lt;=DATE(2026,12,6),'Plan de tareas'!$I$19&gt;=DATE(2026,11,30)),1,0)</f>
        <v>0</v>
      </c>
    </row>
    <row r="19" spans="1:16" x14ac:dyDescent="0.25">
      <c r="A19" s="39" t="s">
        <v>60</v>
      </c>
      <c r="B19" s="40" t="s">
        <v>61</v>
      </c>
      <c r="C19" s="41" t="s">
        <v>15</v>
      </c>
      <c r="D19" s="32">
        <f>IF(AND('Plan de tareas'!$H$20&lt;=DATE(2026,9,13),'Plan de tareas'!$I$20&gt;=DATE(2026,9,7)),1,0)</f>
        <v>0</v>
      </c>
      <c r="E19" s="32">
        <f>IF(AND('Plan de tareas'!$H$20&lt;=DATE(2026,9,20),'Plan de tareas'!$I$20&gt;=DATE(2026,9,14)),1,0)</f>
        <v>0</v>
      </c>
      <c r="F19" s="32">
        <f>IF(AND('Plan de tareas'!$H$20&lt;=DATE(2026,9,27),'Plan de tareas'!$I$20&gt;=DATE(2026,9,21)),1,0)</f>
        <v>1</v>
      </c>
      <c r="G19" s="32">
        <f>IF(AND('Plan de tareas'!$H$20&lt;=DATE(2026,10,4),'Plan de tareas'!$I$20&gt;=DATE(2026,9,28)),1,0)</f>
        <v>0</v>
      </c>
      <c r="H19" s="32">
        <f>IF(AND('Plan de tareas'!$H$20&lt;=DATE(2026,10,11),'Plan de tareas'!$I$20&gt;=DATE(2026,10,5)),1,0)</f>
        <v>0</v>
      </c>
      <c r="I19" s="32">
        <f>IF(AND('Plan de tareas'!$H$20&lt;=DATE(2026,10,18),'Plan de tareas'!$I$20&gt;=DATE(2026,10,12)),1,0)</f>
        <v>0</v>
      </c>
      <c r="J19" s="32">
        <f>IF(AND('Plan de tareas'!$H$20&lt;=DATE(2026,10,25),'Plan de tareas'!$I$20&gt;=DATE(2026,10,19)),1,0)</f>
        <v>0</v>
      </c>
      <c r="K19" s="32">
        <f>IF(AND('Plan de tareas'!$H$20&lt;=DATE(2026,11,1),'Plan de tareas'!$I$20&gt;=DATE(2026,10,26)),1,0)</f>
        <v>0</v>
      </c>
      <c r="L19" s="32">
        <f>IF(AND('Plan de tareas'!$H$20&lt;=DATE(2026,11,8),'Plan de tareas'!$I$20&gt;=DATE(2026,11,2)),1,0)</f>
        <v>0</v>
      </c>
      <c r="M19" s="32">
        <f>IF(AND('Plan de tareas'!$H$20&lt;=DATE(2026,11,15),'Plan de tareas'!$I$20&gt;=DATE(2026,11,9)),1,0)</f>
        <v>0</v>
      </c>
      <c r="N19" s="32">
        <f>IF(AND('Plan de tareas'!$H$20&lt;=DATE(2026,11,22),'Plan de tareas'!$I$20&gt;=DATE(2026,11,16)),1,0)</f>
        <v>0</v>
      </c>
      <c r="O19" s="32">
        <f>IF(AND('Plan de tareas'!$H$20&lt;=DATE(2026,11,29),'Plan de tareas'!$I$20&gt;=DATE(2026,11,23)),1,0)</f>
        <v>0</v>
      </c>
      <c r="P19" s="32">
        <f>IF(AND('Plan de tareas'!$H$20&lt;=DATE(2026,12,6),'Plan de tareas'!$I$20&gt;=DATE(2026,11,30)),1,0)</f>
        <v>0</v>
      </c>
    </row>
    <row r="20" spans="1:16" x14ac:dyDescent="0.25">
      <c r="A20" s="39" t="s">
        <v>63</v>
      </c>
      <c r="B20" s="40" t="s">
        <v>64</v>
      </c>
      <c r="C20" s="41" t="s">
        <v>15</v>
      </c>
      <c r="D20" s="32">
        <f>IF(AND('Plan de tareas'!$H$21&lt;=DATE(2026,9,13),'Plan de tareas'!$I$21&gt;=DATE(2026,9,7)),1,0)</f>
        <v>0</v>
      </c>
      <c r="E20" s="32">
        <f>IF(AND('Plan de tareas'!$H$21&lt;=DATE(2026,9,20),'Plan de tareas'!$I$21&gt;=DATE(2026,9,14)),1,0)</f>
        <v>0</v>
      </c>
      <c r="F20" s="32">
        <f>IF(AND('Plan de tareas'!$H$21&lt;=DATE(2026,9,27),'Plan de tareas'!$I$21&gt;=DATE(2026,9,21)),1,0)</f>
        <v>1</v>
      </c>
      <c r="G20" s="32">
        <f>IF(AND('Plan de tareas'!$H$21&lt;=DATE(2026,10,4),'Plan de tareas'!$I$21&gt;=DATE(2026,9,28)),1,0)</f>
        <v>1</v>
      </c>
      <c r="H20" s="32">
        <f>IF(AND('Plan de tareas'!$H$21&lt;=DATE(2026,10,11),'Plan de tareas'!$I$21&gt;=DATE(2026,10,5)),1,0)</f>
        <v>0</v>
      </c>
      <c r="I20" s="32">
        <f>IF(AND('Plan de tareas'!$H$21&lt;=DATE(2026,10,18),'Plan de tareas'!$I$21&gt;=DATE(2026,10,12)),1,0)</f>
        <v>0</v>
      </c>
      <c r="J20" s="32">
        <f>IF(AND('Plan de tareas'!$H$21&lt;=DATE(2026,10,25),'Plan de tareas'!$I$21&gt;=DATE(2026,10,19)),1,0)</f>
        <v>0</v>
      </c>
      <c r="K20" s="32">
        <f>IF(AND('Plan de tareas'!$H$21&lt;=DATE(2026,11,1),'Plan de tareas'!$I$21&gt;=DATE(2026,10,26)),1,0)</f>
        <v>0</v>
      </c>
      <c r="L20" s="32">
        <f>IF(AND('Plan de tareas'!$H$21&lt;=DATE(2026,11,8),'Plan de tareas'!$I$21&gt;=DATE(2026,11,2)),1,0)</f>
        <v>0</v>
      </c>
      <c r="M20" s="32">
        <f>IF(AND('Plan de tareas'!$H$21&lt;=DATE(2026,11,15),'Plan de tareas'!$I$21&gt;=DATE(2026,11,9)),1,0)</f>
        <v>0</v>
      </c>
      <c r="N20" s="32">
        <f>IF(AND('Plan de tareas'!$H$21&lt;=DATE(2026,11,22),'Plan de tareas'!$I$21&gt;=DATE(2026,11,16)),1,0)</f>
        <v>0</v>
      </c>
      <c r="O20" s="32">
        <f>IF(AND('Plan de tareas'!$H$21&lt;=DATE(2026,11,29),'Plan de tareas'!$I$21&gt;=DATE(2026,11,23)),1,0)</f>
        <v>0</v>
      </c>
      <c r="P20" s="32">
        <f>IF(AND('Plan de tareas'!$H$21&lt;=DATE(2026,12,6),'Plan de tareas'!$I$21&gt;=DATE(2026,11,30)),1,0)</f>
        <v>0</v>
      </c>
    </row>
    <row r="21" spans="1:16" x14ac:dyDescent="0.25">
      <c r="A21" s="39" t="s">
        <v>65</v>
      </c>
      <c r="B21" s="40" t="s">
        <v>66</v>
      </c>
      <c r="C21" s="41" t="s">
        <v>15</v>
      </c>
      <c r="D21" s="32">
        <f>IF(AND('Plan de tareas'!$H$22&lt;=DATE(2026,9,13),'Plan de tareas'!$I$22&gt;=DATE(2026,9,7)),1,0)</f>
        <v>0</v>
      </c>
      <c r="E21" s="32">
        <f>IF(AND('Plan de tareas'!$H$22&lt;=DATE(2026,9,20),'Plan de tareas'!$I$22&gt;=DATE(2026,9,14)),1,0)</f>
        <v>0</v>
      </c>
      <c r="F21" s="32">
        <f>IF(AND('Plan de tareas'!$H$22&lt;=DATE(2026,9,27),'Plan de tareas'!$I$22&gt;=DATE(2026,9,21)),1,0)</f>
        <v>0</v>
      </c>
      <c r="G21" s="32">
        <f>IF(AND('Plan de tareas'!$H$22&lt;=DATE(2026,10,4),'Plan de tareas'!$I$22&gt;=DATE(2026,9,28)),1,0)</f>
        <v>1</v>
      </c>
      <c r="H21" s="32">
        <f>IF(AND('Plan de tareas'!$H$22&lt;=DATE(2026,10,11),'Plan de tareas'!$I$22&gt;=DATE(2026,10,5)),1,0)</f>
        <v>1</v>
      </c>
      <c r="I21" s="32">
        <f>IF(AND('Plan de tareas'!$H$22&lt;=DATE(2026,10,18),'Plan de tareas'!$I$22&gt;=DATE(2026,10,12)),1,0)</f>
        <v>0</v>
      </c>
      <c r="J21" s="32">
        <f>IF(AND('Plan de tareas'!$H$22&lt;=DATE(2026,10,25),'Plan de tareas'!$I$22&gt;=DATE(2026,10,19)),1,0)</f>
        <v>0</v>
      </c>
      <c r="K21" s="32">
        <f>IF(AND('Plan de tareas'!$H$22&lt;=DATE(2026,11,1),'Plan de tareas'!$I$22&gt;=DATE(2026,10,26)),1,0)</f>
        <v>0</v>
      </c>
      <c r="L21" s="32">
        <f>IF(AND('Plan de tareas'!$H$22&lt;=DATE(2026,11,8),'Plan de tareas'!$I$22&gt;=DATE(2026,11,2)),1,0)</f>
        <v>0</v>
      </c>
      <c r="M21" s="32">
        <f>IF(AND('Plan de tareas'!$H$22&lt;=DATE(2026,11,15),'Plan de tareas'!$I$22&gt;=DATE(2026,11,9)),1,0)</f>
        <v>0</v>
      </c>
      <c r="N21" s="32">
        <f>IF(AND('Plan de tareas'!$H$22&lt;=DATE(2026,11,22),'Plan de tareas'!$I$22&gt;=DATE(2026,11,16)),1,0)</f>
        <v>0</v>
      </c>
      <c r="O21" s="32">
        <f>IF(AND('Plan de tareas'!$H$22&lt;=DATE(2026,11,29),'Plan de tareas'!$I$22&gt;=DATE(2026,11,23)),1,0)</f>
        <v>0</v>
      </c>
      <c r="P21" s="32">
        <f>IF(AND('Plan de tareas'!$H$22&lt;=DATE(2026,12,6),'Plan de tareas'!$I$22&gt;=DATE(2026,11,30)),1,0)</f>
        <v>0</v>
      </c>
    </row>
    <row r="22" spans="1:16" x14ac:dyDescent="0.25">
      <c r="A22" s="39" t="s">
        <v>67</v>
      </c>
      <c r="B22" s="40" t="s">
        <v>68</v>
      </c>
      <c r="C22" s="41" t="s">
        <v>15</v>
      </c>
      <c r="D22" s="32">
        <f>IF(AND('Plan de tareas'!$H$23&lt;=DATE(2026,9,13),'Plan de tareas'!$I$23&gt;=DATE(2026,9,7)),1,0)</f>
        <v>0</v>
      </c>
      <c r="E22" s="32">
        <f>IF(AND('Plan de tareas'!$H$23&lt;=DATE(2026,9,20),'Plan de tareas'!$I$23&gt;=DATE(2026,9,14)),1,0)</f>
        <v>0</v>
      </c>
      <c r="F22" s="32">
        <f>IF(AND('Plan de tareas'!$H$23&lt;=DATE(2026,9,27),'Plan de tareas'!$I$23&gt;=DATE(2026,9,21)),1,0)</f>
        <v>0</v>
      </c>
      <c r="G22" s="32">
        <f>IF(AND('Plan de tareas'!$H$23&lt;=DATE(2026,10,4),'Plan de tareas'!$I$23&gt;=DATE(2026,9,28)),1,0)</f>
        <v>0</v>
      </c>
      <c r="H22" s="32">
        <f>IF(AND('Plan de tareas'!$H$23&lt;=DATE(2026,10,11),'Plan de tareas'!$I$23&gt;=DATE(2026,10,5)),1,0)</f>
        <v>1</v>
      </c>
      <c r="I22" s="32">
        <f>IF(AND('Plan de tareas'!$H$23&lt;=DATE(2026,10,18),'Plan de tareas'!$I$23&gt;=DATE(2026,10,12)),1,0)</f>
        <v>0</v>
      </c>
      <c r="J22" s="32">
        <f>IF(AND('Plan de tareas'!$H$23&lt;=DATE(2026,10,25),'Plan de tareas'!$I$23&gt;=DATE(2026,10,19)),1,0)</f>
        <v>0</v>
      </c>
      <c r="K22" s="32">
        <f>IF(AND('Plan de tareas'!$H$23&lt;=DATE(2026,11,1),'Plan de tareas'!$I$23&gt;=DATE(2026,10,26)),1,0)</f>
        <v>0</v>
      </c>
      <c r="L22" s="32">
        <f>IF(AND('Plan de tareas'!$H$23&lt;=DATE(2026,11,8),'Plan de tareas'!$I$23&gt;=DATE(2026,11,2)),1,0)</f>
        <v>0</v>
      </c>
      <c r="M22" s="32">
        <f>IF(AND('Plan de tareas'!$H$23&lt;=DATE(2026,11,15),'Plan de tareas'!$I$23&gt;=DATE(2026,11,9)),1,0)</f>
        <v>0</v>
      </c>
      <c r="N22" s="32">
        <f>IF(AND('Plan de tareas'!$H$23&lt;=DATE(2026,11,22),'Plan de tareas'!$I$23&gt;=DATE(2026,11,16)),1,0)</f>
        <v>0</v>
      </c>
      <c r="O22" s="32">
        <f>IF(AND('Plan de tareas'!$H$23&lt;=DATE(2026,11,29),'Plan de tareas'!$I$23&gt;=DATE(2026,11,23)),1,0)</f>
        <v>0</v>
      </c>
      <c r="P22" s="32">
        <f>IF(AND('Plan de tareas'!$H$23&lt;=DATE(2026,12,6),'Plan de tareas'!$I$23&gt;=DATE(2026,11,30)),1,0)</f>
        <v>0</v>
      </c>
    </row>
    <row r="23" spans="1:16" x14ac:dyDescent="0.25">
      <c r="A23" s="33" t="s">
        <v>69</v>
      </c>
      <c r="B23" s="34" t="s">
        <v>70</v>
      </c>
      <c r="C23" s="35" t="s">
        <v>15</v>
      </c>
      <c r="D23" s="32">
        <f>IF(AND('Plan de tareas'!$H$24&lt;=DATE(2026,9,13),'Plan de tareas'!$I$24&gt;=DATE(2026,9,7)),1,0)</f>
        <v>0</v>
      </c>
      <c r="E23" s="32">
        <f>IF(AND('Plan de tareas'!$H$24&lt;=DATE(2026,9,20),'Plan de tareas'!$I$24&gt;=DATE(2026,9,14)),1,0)</f>
        <v>0</v>
      </c>
      <c r="F23" s="32">
        <f>IF(AND('Plan de tareas'!$H$24&lt;=DATE(2026,9,27),'Plan de tareas'!$I$24&gt;=DATE(2026,9,21)),1,0)</f>
        <v>0</v>
      </c>
      <c r="G23" s="32">
        <f>IF(AND('Plan de tareas'!$H$24&lt;=DATE(2026,10,4),'Plan de tareas'!$I$24&gt;=DATE(2026,9,28)),1,0)</f>
        <v>0</v>
      </c>
      <c r="H23" s="32">
        <f>IF(AND('Plan de tareas'!$H$24&lt;=DATE(2026,10,11),'Plan de tareas'!$I$24&gt;=DATE(2026,10,5)),1,0)</f>
        <v>1</v>
      </c>
      <c r="I23" s="32">
        <f>IF(AND('Plan de tareas'!$H$24&lt;=DATE(2026,10,18),'Plan de tareas'!$I$24&gt;=DATE(2026,10,12)),1,0)</f>
        <v>0</v>
      </c>
      <c r="J23" s="32">
        <f>IF(AND('Plan de tareas'!$H$24&lt;=DATE(2026,10,25),'Plan de tareas'!$I$24&gt;=DATE(2026,10,19)),1,0)</f>
        <v>0</v>
      </c>
      <c r="K23" s="32">
        <f>IF(AND('Plan de tareas'!$H$24&lt;=DATE(2026,11,1),'Plan de tareas'!$I$24&gt;=DATE(2026,10,26)),1,0)</f>
        <v>0</v>
      </c>
      <c r="L23" s="32">
        <f>IF(AND('Plan de tareas'!$H$24&lt;=DATE(2026,11,8),'Plan de tareas'!$I$24&gt;=DATE(2026,11,2)),1,0)</f>
        <v>0</v>
      </c>
      <c r="M23" s="32">
        <f>IF(AND('Plan de tareas'!$H$24&lt;=DATE(2026,11,15),'Plan de tareas'!$I$24&gt;=DATE(2026,11,9)),1,0)</f>
        <v>0</v>
      </c>
      <c r="N23" s="32">
        <f>IF(AND('Plan de tareas'!$H$24&lt;=DATE(2026,11,22),'Plan de tareas'!$I$24&gt;=DATE(2026,11,16)),1,0)</f>
        <v>0</v>
      </c>
      <c r="O23" s="32">
        <f>IF(AND('Plan de tareas'!$H$24&lt;=DATE(2026,11,29),'Plan de tareas'!$I$24&gt;=DATE(2026,11,23)),1,0)</f>
        <v>0</v>
      </c>
      <c r="P23" s="32">
        <f>IF(AND('Plan de tareas'!$H$24&lt;=DATE(2026,12,6),'Plan de tareas'!$I$24&gt;=DATE(2026,11,30)),1,0)</f>
        <v>0</v>
      </c>
    </row>
    <row r="24" spans="1:16" x14ac:dyDescent="0.25">
      <c r="A24" s="33" t="s">
        <v>72</v>
      </c>
      <c r="B24" s="34" t="s">
        <v>73</v>
      </c>
      <c r="C24" s="35" t="s">
        <v>15</v>
      </c>
      <c r="D24" s="32">
        <f>IF(AND('Plan de tareas'!$H$25&lt;=DATE(2026,9,13),'Plan de tareas'!$I$25&gt;=DATE(2026,9,7)),1,0)</f>
        <v>0</v>
      </c>
      <c r="E24" s="32">
        <f>IF(AND('Plan de tareas'!$H$25&lt;=DATE(2026,9,20),'Plan de tareas'!$I$25&gt;=DATE(2026,9,14)),1,0)</f>
        <v>0</v>
      </c>
      <c r="F24" s="32">
        <f>IF(AND('Plan de tareas'!$H$25&lt;=DATE(2026,9,27),'Plan de tareas'!$I$25&gt;=DATE(2026,9,21)),1,0)</f>
        <v>0</v>
      </c>
      <c r="G24" s="32">
        <f>IF(AND('Plan de tareas'!$H$25&lt;=DATE(2026,10,4),'Plan de tareas'!$I$25&gt;=DATE(2026,9,28)),1,0)</f>
        <v>0</v>
      </c>
      <c r="H24" s="32">
        <f>IF(AND('Plan de tareas'!$H$25&lt;=DATE(2026,10,11),'Plan de tareas'!$I$25&gt;=DATE(2026,10,5)),1,0)</f>
        <v>1</v>
      </c>
      <c r="I24" s="32">
        <f>IF(AND('Plan de tareas'!$H$25&lt;=DATE(2026,10,18),'Plan de tareas'!$I$25&gt;=DATE(2026,10,12)),1,0)</f>
        <v>1</v>
      </c>
      <c r="J24" s="32">
        <f>IF(AND('Plan de tareas'!$H$25&lt;=DATE(2026,10,25),'Plan de tareas'!$I$25&gt;=DATE(2026,10,19)),1,0)</f>
        <v>0</v>
      </c>
      <c r="K24" s="32">
        <f>IF(AND('Plan de tareas'!$H$25&lt;=DATE(2026,11,1),'Plan de tareas'!$I$25&gt;=DATE(2026,10,26)),1,0)</f>
        <v>0</v>
      </c>
      <c r="L24" s="32">
        <f>IF(AND('Plan de tareas'!$H$25&lt;=DATE(2026,11,8),'Plan de tareas'!$I$25&gt;=DATE(2026,11,2)),1,0)</f>
        <v>0</v>
      </c>
      <c r="M24" s="32">
        <f>IF(AND('Plan de tareas'!$H$25&lt;=DATE(2026,11,15),'Plan de tareas'!$I$25&gt;=DATE(2026,11,9)),1,0)</f>
        <v>0</v>
      </c>
      <c r="N24" s="32">
        <f>IF(AND('Plan de tareas'!$H$25&lt;=DATE(2026,11,22),'Plan de tareas'!$I$25&gt;=DATE(2026,11,16)),1,0)</f>
        <v>0</v>
      </c>
      <c r="O24" s="32">
        <f>IF(AND('Plan de tareas'!$H$25&lt;=DATE(2026,11,29),'Plan de tareas'!$I$25&gt;=DATE(2026,11,23)),1,0)</f>
        <v>0</v>
      </c>
      <c r="P24" s="32">
        <f>IF(AND('Plan de tareas'!$H$25&lt;=DATE(2026,12,6),'Plan de tareas'!$I$25&gt;=DATE(2026,11,30)),1,0)</f>
        <v>0</v>
      </c>
    </row>
    <row r="25" spans="1:16" x14ac:dyDescent="0.25">
      <c r="A25" s="33" t="s">
        <v>74</v>
      </c>
      <c r="B25" s="34" t="s">
        <v>75</v>
      </c>
      <c r="C25" s="35" t="s">
        <v>15</v>
      </c>
      <c r="D25" s="32">
        <f>IF(AND('Plan de tareas'!$H$26&lt;=DATE(2026,9,13),'Plan de tareas'!$I$26&gt;=DATE(2026,9,7)),1,0)</f>
        <v>0</v>
      </c>
      <c r="E25" s="32">
        <f>IF(AND('Plan de tareas'!$H$26&lt;=DATE(2026,9,20),'Plan de tareas'!$I$26&gt;=DATE(2026,9,14)),1,0)</f>
        <v>0</v>
      </c>
      <c r="F25" s="32">
        <f>IF(AND('Plan de tareas'!$H$26&lt;=DATE(2026,9,27),'Plan de tareas'!$I$26&gt;=DATE(2026,9,21)),1,0)</f>
        <v>0</v>
      </c>
      <c r="G25" s="32">
        <f>IF(AND('Plan de tareas'!$H$26&lt;=DATE(2026,10,4),'Plan de tareas'!$I$26&gt;=DATE(2026,9,28)),1,0)</f>
        <v>0</v>
      </c>
      <c r="H25" s="32">
        <f>IF(AND('Plan de tareas'!$H$26&lt;=DATE(2026,10,11),'Plan de tareas'!$I$26&gt;=DATE(2026,10,5)),1,0)</f>
        <v>0</v>
      </c>
      <c r="I25" s="32">
        <f>IF(AND('Plan de tareas'!$H$26&lt;=DATE(2026,10,18),'Plan de tareas'!$I$26&gt;=DATE(2026,10,12)),1,0)</f>
        <v>1</v>
      </c>
      <c r="J25" s="32">
        <f>IF(AND('Plan de tareas'!$H$26&lt;=DATE(2026,10,25),'Plan de tareas'!$I$26&gt;=DATE(2026,10,19)),1,0)</f>
        <v>0</v>
      </c>
      <c r="K25" s="32">
        <f>IF(AND('Plan de tareas'!$H$26&lt;=DATE(2026,11,1),'Plan de tareas'!$I$26&gt;=DATE(2026,10,26)),1,0)</f>
        <v>0</v>
      </c>
      <c r="L25" s="32">
        <f>IF(AND('Plan de tareas'!$H$26&lt;=DATE(2026,11,8),'Plan de tareas'!$I$26&gt;=DATE(2026,11,2)),1,0)</f>
        <v>0</v>
      </c>
      <c r="M25" s="32">
        <f>IF(AND('Plan de tareas'!$H$26&lt;=DATE(2026,11,15),'Plan de tareas'!$I$26&gt;=DATE(2026,11,9)),1,0)</f>
        <v>0</v>
      </c>
      <c r="N25" s="32">
        <f>IF(AND('Plan de tareas'!$H$26&lt;=DATE(2026,11,22),'Plan de tareas'!$I$26&gt;=DATE(2026,11,16)),1,0)</f>
        <v>0</v>
      </c>
      <c r="O25" s="32">
        <f>IF(AND('Plan de tareas'!$H$26&lt;=DATE(2026,11,29),'Plan de tareas'!$I$26&gt;=DATE(2026,11,23)),1,0)</f>
        <v>0</v>
      </c>
      <c r="P25" s="32">
        <f>IF(AND('Plan de tareas'!$H$26&lt;=DATE(2026,12,6),'Plan de tareas'!$I$26&gt;=DATE(2026,11,30)),1,0)</f>
        <v>0</v>
      </c>
    </row>
    <row r="26" spans="1:16" x14ac:dyDescent="0.25">
      <c r="A26" s="33" t="s">
        <v>76</v>
      </c>
      <c r="B26" s="34" t="s">
        <v>77</v>
      </c>
      <c r="C26" s="35" t="s">
        <v>15</v>
      </c>
      <c r="D26" s="32">
        <f>IF(AND('Plan de tareas'!$H$27&lt;=DATE(2026,9,13),'Plan de tareas'!$I$27&gt;=DATE(2026,9,7)),1,0)</f>
        <v>0</v>
      </c>
      <c r="E26" s="32">
        <f>IF(AND('Plan de tareas'!$H$27&lt;=DATE(2026,9,20),'Plan de tareas'!$I$27&gt;=DATE(2026,9,14)),1,0)</f>
        <v>0</v>
      </c>
      <c r="F26" s="32">
        <f>IF(AND('Plan de tareas'!$H$27&lt;=DATE(2026,9,27),'Plan de tareas'!$I$27&gt;=DATE(2026,9,21)),1,0)</f>
        <v>0</v>
      </c>
      <c r="G26" s="32">
        <f>IF(AND('Plan de tareas'!$H$27&lt;=DATE(2026,10,4),'Plan de tareas'!$I$27&gt;=DATE(2026,9,28)),1,0)</f>
        <v>0</v>
      </c>
      <c r="H26" s="32">
        <f>IF(AND('Plan de tareas'!$H$27&lt;=DATE(2026,10,11),'Plan de tareas'!$I$27&gt;=DATE(2026,10,5)),1,0)</f>
        <v>0</v>
      </c>
      <c r="I26" s="32">
        <f>IF(AND('Plan de tareas'!$H$27&lt;=DATE(2026,10,18),'Plan de tareas'!$I$27&gt;=DATE(2026,10,12)),1,0)</f>
        <v>1</v>
      </c>
      <c r="J26" s="32">
        <f>IF(AND('Plan de tareas'!$H$27&lt;=DATE(2026,10,25),'Plan de tareas'!$I$27&gt;=DATE(2026,10,19)),1,0)</f>
        <v>0</v>
      </c>
      <c r="K26" s="32">
        <f>IF(AND('Plan de tareas'!$H$27&lt;=DATE(2026,11,1),'Plan de tareas'!$I$27&gt;=DATE(2026,10,26)),1,0)</f>
        <v>0</v>
      </c>
      <c r="L26" s="32">
        <f>IF(AND('Plan de tareas'!$H$27&lt;=DATE(2026,11,8),'Plan de tareas'!$I$27&gt;=DATE(2026,11,2)),1,0)</f>
        <v>0</v>
      </c>
      <c r="M26" s="32">
        <f>IF(AND('Plan de tareas'!$H$27&lt;=DATE(2026,11,15),'Plan de tareas'!$I$27&gt;=DATE(2026,11,9)),1,0)</f>
        <v>0</v>
      </c>
      <c r="N26" s="32">
        <f>IF(AND('Plan de tareas'!$H$27&lt;=DATE(2026,11,22),'Plan de tareas'!$I$27&gt;=DATE(2026,11,16)),1,0)</f>
        <v>0</v>
      </c>
      <c r="O26" s="32">
        <f>IF(AND('Plan de tareas'!$H$27&lt;=DATE(2026,11,29),'Plan de tareas'!$I$27&gt;=DATE(2026,11,23)),1,0)</f>
        <v>0</v>
      </c>
      <c r="P26" s="32">
        <f>IF(AND('Plan de tareas'!$H$27&lt;=DATE(2026,12,6),'Plan de tareas'!$I$27&gt;=DATE(2026,11,30)),1,0)</f>
        <v>0</v>
      </c>
    </row>
    <row r="27" spans="1:16" x14ac:dyDescent="0.25">
      <c r="A27" s="33" t="s">
        <v>79</v>
      </c>
      <c r="B27" s="34" t="s">
        <v>80</v>
      </c>
      <c r="C27" s="35" t="s">
        <v>15</v>
      </c>
      <c r="D27" s="32">
        <f>IF(AND('Plan de tareas'!$H$28&lt;=DATE(2026,9,13),'Plan de tareas'!$I$28&gt;=DATE(2026,9,7)),1,0)</f>
        <v>0</v>
      </c>
      <c r="E27" s="32">
        <f>IF(AND('Plan de tareas'!$H$28&lt;=DATE(2026,9,20),'Plan de tareas'!$I$28&gt;=DATE(2026,9,14)),1,0)</f>
        <v>0</v>
      </c>
      <c r="F27" s="32">
        <f>IF(AND('Plan de tareas'!$H$28&lt;=DATE(2026,9,27),'Plan de tareas'!$I$28&gt;=DATE(2026,9,21)),1,0)</f>
        <v>0</v>
      </c>
      <c r="G27" s="32">
        <f>IF(AND('Plan de tareas'!$H$28&lt;=DATE(2026,10,4),'Plan de tareas'!$I$28&gt;=DATE(2026,9,28)),1,0)</f>
        <v>0</v>
      </c>
      <c r="H27" s="32">
        <f>IF(AND('Plan de tareas'!$H$28&lt;=DATE(2026,10,11),'Plan de tareas'!$I$28&gt;=DATE(2026,10,5)),1,0)</f>
        <v>0</v>
      </c>
      <c r="I27" s="32">
        <f>IF(AND('Plan de tareas'!$H$28&lt;=DATE(2026,10,18),'Plan de tareas'!$I$28&gt;=DATE(2026,10,12)),1,0)</f>
        <v>1</v>
      </c>
      <c r="J27" s="32">
        <f>IF(AND('Plan de tareas'!$H$28&lt;=DATE(2026,10,25),'Plan de tareas'!$I$28&gt;=DATE(2026,10,19)),1,0)</f>
        <v>0</v>
      </c>
      <c r="K27" s="32">
        <f>IF(AND('Plan de tareas'!$H$28&lt;=DATE(2026,11,1),'Plan de tareas'!$I$28&gt;=DATE(2026,10,26)),1,0)</f>
        <v>0</v>
      </c>
      <c r="L27" s="32">
        <f>IF(AND('Plan de tareas'!$H$28&lt;=DATE(2026,11,8),'Plan de tareas'!$I$28&gt;=DATE(2026,11,2)),1,0)</f>
        <v>0</v>
      </c>
      <c r="M27" s="32">
        <f>IF(AND('Plan de tareas'!$H$28&lt;=DATE(2026,11,15),'Plan de tareas'!$I$28&gt;=DATE(2026,11,9)),1,0)</f>
        <v>0</v>
      </c>
      <c r="N27" s="32">
        <f>IF(AND('Plan de tareas'!$H$28&lt;=DATE(2026,11,22),'Plan de tareas'!$I$28&gt;=DATE(2026,11,16)),1,0)</f>
        <v>0</v>
      </c>
      <c r="O27" s="32">
        <f>IF(AND('Plan de tareas'!$H$28&lt;=DATE(2026,11,29),'Plan de tareas'!$I$28&gt;=DATE(2026,11,23)),1,0)</f>
        <v>0</v>
      </c>
      <c r="P27" s="32">
        <f>IF(AND('Plan de tareas'!$H$28&lt;=DATE(2026,12,6),'Plan de tareas'!$I$28&gt;=DATE(2026,11,30)),1,0)</f>
        <v>0</v>
      </c>
    </row>
    <row r="28" spans="1:16" x14ac:dyDescent="0.25">
      <c r="A28" s="33" t="s">
        <v>82</v>
      </c>
      <c r="B28" s="34" t="s">
        <v>83</v>
      </c>
      <c r="C28" s="35" t="s">
        <v>15</v>
      </c>
      <c r="D28" s="32">
        <f>IF(AND('Plan de tareas'!$H$29&lt;=DATE(2026,9,13),'Plan de tareas'!$I$29&gt;=DATE(2026,9,7)),1,0)</f>
        <v>0</v>
      </c>
      <c r="E28" s="32">
        <f>IF(AND('Plan de tareas'!$H$29&lt;=DATE(2026,9,20),'Plan de tareas'!$I$29&gt;=DATE(2026,9,14)),1,0)</f>
        <v>0</v>
      </c>
      <c r="F28" s="32">
        <f>IF(AND('Plan de tareas'!$H$29&lt;=DATE(2026,9,27),'Plan de tareas'!$I$29&gt;=DATE(2026,9,21)),1,0)</f>
        <v>0</v>
      </c>
      <c r="G28" s="32">
        <f>IF(AND('Plan de tareas'!$H$29&lt;=DATE(2026,10,4),'Plan de tareas'!$I$29&gt;=DATE(2026,9,28)),1,0)</f>
        <v>0</v>
      </c>
      <c r="H28" s="32">
        <f>IF(AND('Plan de tareas'!$H$29&lt;=DATE(2026,10,11),'Plan de tareas'!$I$29&gt;=DATE(2026,10,5)),1,0)</f>
        <v>0</v>
      </c>
      <c r="I28" s="32">
        <f>IF(AND('Plan de tareas'!$H$29&lt;=DATE(2026,10,18),'Plan de tareas'!$I$29&gt;=DATE(2026,10,12)),1,0)</f>
        <v>0</v>
      </c>
      <c r="J28" s="32">
        <f>IF(AND('Plan de tareas'!$H$29&lt;=DATE(2026,10,25),'Plan de tareas'!$I$29&gt;=DATE(2026,10,19)),1,0)</f>
        <v>1</v>
      </c>
      <c r="K28" s="32">
        <f>IF(AND('Plan de tareas'!$H$29&lt;=DATE(2026,11,1),'Plan de tareas'!$I$29&gt;=DATE(2026,10,26)),1,0)</f>
        <v>0</v>
      </c>
      <c r="L28" s="32">
        <f>IF(AND('Plan de tareas'!$H$29&lt;=DATE(2026,11,8),'Plan de tareas'!$I$29&gt;=DATE(2026,11,2)),1,0)</f>
        <v>0</v>
      </c>
      <c r="M28" s="32">
        <f>IF(AND('Plan de tareas'!$H$29&lt;=DATE(2026,11,15),'Plan de tareas'!$I$29&gt;=DATE(2026,11,9)),1,0)</f>
        <v>0</v>
      </c>
      <c r="N28" s="32">
        <f>IF(AND('Plan de tareas'!$H$29&lt;=DATE(2026,11,22),'Plan de tareas'!$I$29&gt;=DATE(2026,11,16)),1,0)</f>
        <v>0</v>
      </c>
      <c r="O28" s="32">
        <f>IF(AND('Plan de tareas'!$H$29&lt;=DATE(2026,11,29),'Plan de tareas'!$I$29&gt;=DATE(2026,11,23)),1,0)</f>
        <v>0</v>
      </c>
      <c r="P28" s="32">
        <f>IF(AND('Plan de tareas'!$H$29&lt;=DATE(2026,12,6),'Plan de tareas'!$I$29&gt;=DATE(2026,11,30)),1,0)</f>
        <v>0</v>
      </c>
    </row>
    <row r="29" spans="1:16" x14ac:dyDescent="0.25">
      <c r="A29" s="33" t="s">
        <v>84</v>
      </c>
      <c r="B29" s="34" t="s">
        <v>85</v>
      </c>
      <c r="C29" s="35" t="s">
        <v>15</v>
      </c>
      <c r="D29" s="32">
        <f>IF(AND('Plan de tareas'!$H$30&lt;=DATE(2026,9,13),'Plan de tareas'!$I$30&gt;=DATE(2026,9,7)),1,0)</f>
        <v>0</v>
      </c>
      <c r="E29" s="32">
        <f>IF(AND('Plan de tareas'!$H$30&lt;=DATE(2026,9,20),'Plan de tareas'!$I$30&gt;=DATE(2026,9,14)),1,0)</f>
        <v>0</v>
      </c>
      <c r="F29" s="32">
        <f>IF(AND('Plan de tareas'!$H$30&lt;=DATE(2026,9,27),'Plan de tareas'!$I$30&gt;=DATE(2026,9,21)),1,0)</f>
        <v>0</v>
      </c>
      <c r="G29" s="32">
        <f>IF(AND('Plan de tareas'!$H$30&lt;=DATE(2026,10,4),'Plan de tareas'!$I$30&gt;=DATE(2026,9,28)),1,0)</f>
        <v>0</v>
      </c>
      <c r="H29" s="32">
        <f>IF(AND('Plan de tareas'!$H$30&lt;=DATE(2026,10,11),'Plan de tareas'!$I$30&gt;=DATE(2026,10,5)),1,0)</f>
        <v>0</v>
      </c>
      <c r="I29" s="32">
        <f>IF(AND('Plan de tareas'!$H$30&lt;=DATE(2026,10,18),'Plan de tareas'!$I$30&gt;=DATE(2026,10,12)),1,0)</f>
        <v>0</v>
      </c>
      <c r="J29" s="32">
        <f>IF(AND('Plan de tareas'!$H$30&lt;=DATE(2026,10,25),'Plan de tareas'!$I$30&gt;=DATE(2026,10,19)),1,0)</f>
        <v>1</v>
      </c>
      <c r="K29" s="32">
        <f>IF(AND('Plan de tareas'!$H$30&lt;=DATE(2026,11,1),'Plan de tareas'!$I$30&gt;=DATE(2026,10,26)),1,0)</f>
        <v>0</v>
      </c>
      <c r="L29" s="32">
        <f>IF(AND('Plan de tareas'!$H$30&lt;=DATE(2026,11,8),'Plan de tareas'!$I$30&gt;=DATE(2026,11,2)),1,0)</f>
        <v>0</v>
      </c>
      <c r="M29" s="32">
        <f>IF(AND('Plan de tareas'!$H$30&lt;=DATE(2026,11,15),'Plan de tareas'!$I$30&gt;=DATE(2026,11,9)),1,0)</f>
        <v>0</v>
      </c>
      <c r="N29" s="32">
        <f>IF(AND('Plan de tareas'!$H$30&lt;=DATE(2026,11,22),'Plan de tareas'!$I$30&gt;=DATE(2026,11,16)),1,0)</f>
        <v>0</v>
      </c>
      <c r="O29" s="32">
        <f>IF(AND('Plan de tareas'!$H$30&lt;=DATE(2026,11,29),'Plan de tareas'!$I$30&gt;=DATE(2026,11,23)),1,0)</f>
        <v>0</v>
      </c>
      <c r="P29" s="32">
        <f>IF(AND('Plan de tareas'!$H$30&lt;=DATE(2026,12,6),'Plan de tareas'!$I$30&gt;=DATE(2026,11,30)),1,0)</f>
        <v>0</v>
      </c>
    </row>
    <row r="30" spans="1:16" x14ac:dyDescent="0.25">
      <c r="A30" s="33" t="s">
        <v>87</v>
      </c>
      <c r="B30" s="34" t="s">
        <v>88</v>
      </c>
      <c r="C30" s="35" t="s">
        <v>15</v>
      </c>
      <c r="D30" s="32">
        <f>IF(AND('Plan de tareas'!$H$31&lt;=DATE(2026,9,13),'Plan de tareas'!$I$31&gt;=DATE(2026,9,7)),1,0)</f>
        <v>0</v>
      </c>
      <c r="E30" s="32">
        <f>IF(AND('Plan de tareas'!$H$31&lt;=DATE(2026,9,20),'Plan de tareas'!$I$31&gt;=DATE(2026,9,14)),1,0)</f>
        <v>0</v>
      </c>
      <c r="F30" s="32">
        <f>IF(AND('Plan de tareas'!$H$31&lt;=DATE(2026,9,27),'Plan de tareas'!$I$31&gt;=DATE(2026,9,21)),1,0)</f>
        <v>0</v>
      </c>
      <c r="G30" s="32">
        <f>IF(AND('Plan de tareas'!$H$31&lt;=DATE(2026,10,4),'Plan de tareas'!$I$31&gt;=DATE(2026,9,28)),1,0)</f>
        <v>0</v>
      </c>
      <c r="H30" s="32">
        <f>IF(AND('Plan de tareas'!$H$31&lt;=DATE(2026,10,11),'Plan de tareas'!$I$31&gt;=DATE(2026,10,5)),1,0)</f>
        <v>0</v>
      </c>
      <c r="I30" s="32">
        <f>IF(AND('Plan de tareas'!$H$31&lt;=DATE(2026,10,18),'Plan de tareas'!$I$31&gt;=DATE(2026,10,12)),1,0)</f>
        <v>0</v>
      </c>
      <c r="J30" s="32">
        <f>IF(AND('Plan de tareas'!$H$31&lt;=DATE(2026,10,25),'Plan de tareas'!$I$31&gt;=DATE(2026,10,19)),1,0)</f>
        <v>1</v>
      </c>
      <c r="K30" s="32">
        <f>IF(AND('Plan de tareas'!$H$31&lt;=DATE(2026,11,1),'Plan de tareas'!$I$31&gt;=DATE(2026,10,26)),1,0)</f>
        <v>1</v>
      </c>
      <c r="L30" s="32">
        <f>IF(AND('Plan de tareas'!$H$31&lt;=DATE(2026,11,8),'Plan de tareas'!$I$31&gt;=DATE(2026,11,2)),1,0)</f>
        <v>0</v>
      </c>
      <c r="M30" s="32">
        <f>IF(AND('Plan de tareas'!$H$31&lt;=DATE(2026,11,15),'Plan de tareas'!$I$31&gt;=DATE(2026,11,9)),1,0)</f>
        <v>0</v>
      </c>
      <c r="N30" s="32">
        <f>IF(AND('Plan de tareas'!$H$31&lt;=DATE(2026,11,22),'Plan de tareas'!$I$31&gt;=DATE(2026,11,16)),1,0)</f>
        <v>0</v>
      </c>
      <c r="O30" s="32">
        <f>IF(AND('Plan de tareas'!$H$31&lt;=DATE(2026,11,29),'Plan de tareas'!$I$31&gt;=DATE(2026,11,23)),1,0)</f>
        <v>0</v>
      </c>
      <c r="P30" s="32">
        <f>IF(AND('Plan de tareas'!$H$31&lt;=DATE(2026,12,6),'Plan de tareas'!$I$31&gt;=DATE(2026,11,30)),1,0)</f>
        <v>0</v>
      </c>
    </row>
    <row r="31" spans="1:16" x14ac:dyDescent="0.25">
      <c r="A31" s="33" t="s">
        <v>89</v>
      </c>
      <c r="B31" s="34" t="s">
        <v>90</v>
      </c>
      <c r="C31" s="35" t="s">
        <v>15</v>
      </c>
      <c r="D31" s="32">
        <f>IF(AND('Plan de tareas'!$H$32&lt;=DATE(2026,9,13),'Plan de tareas'!$I$32&gt;=DATE(2026,9,7)),1,0)</f>
        <v>0</v>
      </c>
      <c r="E31" s="32">
        <f>IF(AND('Plan de tareas'!$H$32&lt;=DATE(2026,9,20),'Plan de tareas'!$I$32&gt;=DATE(2026,9,14)),1,0)</f>
        <v>0</v>
      </c>
      <c r="F31" s="32">
        <f>IF(AND('Plan de tareas'!$H$32&lt;=DATE(2026,9,27),'Plan de tareas'!$I$32&gt;=DATE(2026,9,21)),1,0)</f>
        <v>0</v>
      </c>
      <c r="G31" s="32">
        <f>IF(AND('Plan de tareas'!$H$32&lt;=DATE(2026,10,4),'Plan de tareas'!$I$32&gt;=DATE(2026,9,28)),1,0)</f>
        <v>0</v>
      </c>
      <c r="H31" s="32">
        <f>IF(AND('Plan de tareas'!$H$32&lt;=DATE(2026,10,11),'Plan de tareas'!$I$32&gt;=DATE(2026,10,5)),1,0)</f>
        <v>0</v>
      </c>
      <c r="I31" s="32">
        <f>IF(AND('Plan de tareas'!$H$32&lt;=DATE(2026,10,18),'Plan de tareas'!$I$32&gt;=DATE(2026,10,12)),1,0)</f>
        <v>0</v>
      </c>
      <c r="J31" s="32">
        <f>IF(AND('Plan de tareas'!$H$32&lt;=DATE(2026,10,25),'Plan de tareas'!$I$32&gt;=DATE(2026,10,19)),1,0)</f>
        <v>0</v>
      </c>
      <c r="K31" s="32">
        <f>IF(AND('Plan de tareas'!$H$32&lt;=DATE(2026,11,1),'Plan de tareas'!$I$32&gt;=DATE(2026,10,26)),1,0)</f>
        <v>1</v>
      </c>
      <c r="L31" s="32">
        <f>IF(AND('Plan de tareas'!$H$32&lt;=DATE(2026,11,8),'Plan de tareas'!$I$32&gt;=DATE(2026,11,2)),1,0)</f>
        <v>0</v>
      </c>
      <c r="M31" s="32">
        <f>IF(AND('Plan de tareas'!$H$32&lt;=DATE(2026,11,15),'Plan de tareas'!$I$32&gt;=DATE(2026,11,9)),1,0)</f>
        <v>0</v>
      </c>
      <c r="N31" s="32">
        <f>IF(AND('Plan de tareas'!$H$32&lt;=DATE(2026,11,22),'Plan de tareas'!$I$32&gt;=DATE(2026,11,16)),1,0)</f>
        <v>0</v>
      </c>
      <c r="O31" s="32">
        <f>IF(AND('Plan de tareas'!$H$32&lt;=DATE(2026,11,29),'Plan de tareas'!$I$32&gt;=DATE(2026,11,23)),1,0)</f>
        <v>0</v>
      </c>
      <c r="P31" s="32">
        <f>IF(AND('Plan de tareas'!$H$32&lt;=DATE(2026,12,6),'Plan de tareas'!$I$32&gt;=DATE(2026,11,30)),1,0)</f>
        <v>0</v>
      </c>
    </row>
    <row r="32" spans="1:16" x14ac:dyDescent="0.25">
      <c r="A32" s="33" t="s">
        <v>91</v>
      </c>
      <c r="B32" s="34" t="s">
        <v>92</v>
      </c>
      <c r="C32" s="35" t="s">
        <v>15</v>
      </c>
      <c r="D32" s="32">
        <f>IF(AND('Plan de tareas'!$H$33&lt;=DATE(2026,9,13),'Plan de tareas'!$I$33&gt;=DATE(2026,9,7)),1,0)</f>
        <v>0</v>
      </c>
      <c r="E32" s="32">
        <f>IF(AND('Plan de tareas'!$H$33&lt;=DATE(2026,9,20),'Plan de tareas'!$I$33&gt;=DATE(2026,9,14)),1,0)</f>
        <v>0</v>
      </c>
      <c r="F32" s="32">
        <f>IF(AND('Plan de tareas'!$H$33&lt;=DATE(2026,9,27),'Plan de tareas'!$I$33&gt;=DATE(2026,9,21)),1,0)</f>
        <v>0</v>
      </c>
      <c r="G32" s="32">
        <f>IF(AND('Plan de tareas'!$H$33&lt;=DATE(2026,10,4),'Plan de tareas'!$I$33&gt;=DATE(2026,9,28)),1,0)</f>
        <v>0</v>
      </c>
      <c r="H32" s="32">
        <f>IF(AND('Plan de tareas'!$H$33&lt;=DATE(2026,10,11),'Plan de tareas'!$I$33&gt;=DATE(2026,10,5)),1,0)</f>
        <v>0</v>
      </c>
      <c r="I32" s="32">
        <f>IF(AND('Plan de tareas'!$H$33&lt;=DATE(2026,10,18),'Plan de tareas'!$I$33&gt;=DATE(2026,10,12)),1,0)</f>
        <v>0</v>
      </c>
      <c r="J32" s="32">
        <f>IF(AND('Plan de tareas'!$H$33&lt;=DATE(2026,10,25),'Plan de tareas'!$I$33&gt;=DATE(2026,10,19)),1,0)</f>
        <v>0</v>
      </c>
      <c r="K32" s="32">
        <f>IF(AND('Plan de tareas'!$H$33&lt;=DATE(2026,11,1),'Plan de tareas'!$I$33&gt;=DATE(2026,10,26)),1,0)</f>
        <v>1</v>
      </c>
      <c r="L32" s="32">
        <f>IF(AND('Plan de tareas'!$H$33&lt;=DATE(2026,11,8),'Plan de tareas'!$I$33&gt;=DATE(2026,11,2)),1,0)</f>
        <v>1</v>
      </c>
      <c r="M32" s="32">
        <f>IF(AND('Plan de tareas'!$H$33&lt;=DATE(2026,11,15),'Plan de tareas'!$I$33&gt;=DATE(2026,11,9)),1,0)</f>
        <v>0</v>
      </c>
      <c r="N32" s="32">
        <f>IF(AND('Plan de tareas'!$H$33&lt;=DATE(2026,11,22),'Plan de tareas'!$I$33&gt;=DATE(2026,11,16)),1,0)</f>
        <v>0</v>
      </c>
      <c r="O32" s="32">
        <f>IF(AND('Plan de tareas'!$H$33&lt;=DATE(2026,11,29),'Plan de tareas'!$I$33&gt;=DATE(2026,11,23)),1,0)</f>
        <v>0</v>
      </c>
      <c r="P32" s="32">
        <f>IF(AND('Plan de tareas'!$H$33&lt;=DATE(2026,12,6),'Plan de tareas'!$I$33&gt;=DATE(2026,11,30)),1,0)</f>
        <v>0</v>
      </c>
    </row>
    <row r="33" spans="1:16" x14ac:dyDescent="0.25">
      <c r="A33" s="33" t="s">
        <v>95</v>
      </c>
      <c r="B33" s="34" t="s">
        <v>96</v>
      </c>
      <c r="C33" s="35" t="s">
        <v>15</v>
      </c>
      <c r="D33" s="32">
        <f>IF(AND('Plan de tareas'!$H$34&lt;=DATE(2026,9,13),'Plan de tareas'!$I$34&gt;=DATE(2026,9,7)),1,0)</f>
        <v>0</v>
      </c>
      <c r="E33" s="32">
        <f>IF(AND('Plan de tareas'!$H$34&lt;=DATE(2026,9,20),'Plan de tareas'!$I$34&gt;=DATE(2026,9,14)),1,0)</f>
        <v>0</v>
      </c>
      <c r="F33" s="32">
        <f>IF(AND('Plan de tareas'!$H$34&lt;=DATE(2026,9,27),'Plan de tareas'!$I$34&gt;=DATE(2026,9,21)),1,0)</f>
        <v>0</v>
      </c>
      <c r="G33" s="32">
        <f>IF(AND('Plan de tareas'!$H$34&lt;=DATE(2026,10,4),'Plan de tareas'!$I$34&gt;=DATE(2026,9,28)),1,0)</f>
        <v>0</v>
      </c>
      <c r="H33" s="32">
        <f>IF(AND('Plan de tareas'!$H$34&lt;=DATE(2026,10,11),'Plan de tareas'!$I$34&gt;=DATE(2026,10,5)),1,0)</f>
        <v>0</v>
      </c>
      <c r="I33" s="32">
        <f>IF(AND('Plan de tareas'!$H$34&lt;=DATE(2026,10,18),'Plan de tareas'!$I$34&gt;=DATE(2026,10,12)),1,0)</f>
        <v>0</v>
      </c>
      <c r="J33" s="32">
        <f>IF(AND('Plan de tareas'!$H$34&lt;=DATE(2026,10,25),'Plan de tareas'!$I$34&gt;=DATE(2026,10,19)),1,0)</f>
        <v>0</v>
      </c>
      <c r="K33" s="32">
        <f>IF(AND('Plan de tareas'!$H$34&lt;=DATE(2026,11,1),'Plan de tareas'!$I$34&gt;=DATE(2026,10,26)),1,0)</f>
        <v>0</v>
      </c>
      <c r="L33" s="32">
        <f>IF(AND('Plan de tareas'!$H$34&lt;=DATE(2026,11,8),'Plan de tareas'!$I$34&gt;=DATE(2026,11,2)),1,0)</f>
        <v>1</v>
      </c>
      <c r="M33" s="32">
        <f>IF(AND('Plan de tareas'!$H$34&lt;=DATE(2026,11,15),'Plan de tareas'!$I$34&gt;=DATE(2026,11,9)),1,0)</f>
        <v>0</v>
      </c>
      <c r="N33" s="32">
        <f>IF(AND('Plan de tareas'!$H$34&lt;=DATE(2026,11,22),'Plan de tareas'!$I$34&gt;=DATE(2026,11,16)),1,0)</f>
        <v>0</v>
      </c>
      <c r="O33" s="32">
        <f>IF(AND('Plan de tareas'!$H$34&lt;=DATE(2026,11,29),'Plan de tareas'!$I$34&gt;=DATE(2026,11,23)),1,0)</f>
        <v>0</v>
      </c>
      <c r="P33" s="32">
        <f>IF(AND('Plan de tareas'!$H$34&lt;=DATE(2026,12,6),'Plan de tareas'!$I$34&gt;=DATE(2026,11,30)),1,0)</f>
        <v>0</v>
      </c>
    </row>
    <row r="34" spans="1:16" x14ac:dyDescent="0.25">
      <c r="A34" s="33" t="s">
        <v>97</v>
      </c>
      <c r="B34" s="34" t="s">
        <v>98</v>
      </c>
      <c r="C34" s="35" t="s">
        <v>15</v>
      </c>
      <c r="D34" s="32">
        <f>IF(AND('Plan de tareas'!$H$35&lt;=DATE(2026,9,13),'Plan de tareas'!$I$35&gt;=DATE(2026,9,7)),1,0)</f>
        <v>0</v>
      </c>
      <c r="E34" s="32">
        <f>IF(AND('Plan de tareas'!$H$35&lt;=DATE(2026,9,20),'Plan de tareas'!$I$35&gt;=DATE(2026,9,14)),1,0)</f>
        <v>0</v>
      </c>
      <c r="F34" s="32">
        <f>IF(AND('Plan de tareas'!$H$35&lt;=DATE(2026,9,27),'Plan de tareas'!$I$35&gt;=DATE(2026,9,21)),1,0)</f>
        <v>0</v>
      </c>
      <c r="G34" s="32">
        <f>IF(AND('Plan de tareas'!$H$35&lt;=DATE(2026,10,4),'Plan de tareas'!$I$35&gt;=DATE(2026,9,28)),1,0)</f>
        <v>0</v>
      </c>
      <c r="H34" s="32">
        <f>IF(AND('Plan de tareas'!$H$35&lt;=DATE(2026,10,11),'Plan de tareas'!$I$35&gt;=DATE(2026,10,5)),1,0)</f>
        <v>0</v>
      </c>
      <c r="I34" s="32">
        <f>IF(AND('Plan de tareas'!$H$35&lt;=DATE(2026,10,18),'Plan de tareas'!$I$35&gt;=DATE(2026,10,12)),1,0)</f>
        <v>0</v>
      </c>
      <c r="J34" s="32">
        <f>IF(AND('Plan de tareas'!$H$35&lt;=DATE(2026,10,25),'Plan de tareas'!$I$35&gt;=DATE(2026,10,19)),1,0)</f>
        <v>0</v>
      </c>
      <c r="K34" s="32">
        <f>IF(AND('Plan de tareas'!$H$35&lt;=DATE(2026,11,1),'Plan de tareas'!$I$35&gt;=DATE(2026,10,26)),1,0)</f>
        <v>0</v>
      </c>
      <c r="L34" s="32">
        <f>IF(AND('Plan de tareas'!$H$35&lt;=DATE(2026,11,8),'Plan de tareas'!$I$35&gt;=DATE(2026,11,2)),1,0)</f>
        <v>1</v>
      </c>
      <c r="M34" s="32">
        <f>IF(AND('Plan de tareas'!$H$35&lt;=DATE(2026,11,15),'Plan de tareas'!$I$35&gt;=DATE(2026,11,9)),1,0)</f>
        <v>0</v>
      </c>
      <c r="N34" s="32">
        <f>IF(AND('Plan de tareas'!$H$35&lt;=DATE(2026,11,22),'Plan de tareas'!$I$35&gt;=DATE(2026,11,16)),1,0)</f>
        <v>0</v>
      </c>
      <c r="O34" s="32">
        <f>IF(AND('Plan de tareas'!$H$35&lt;=DATE(2026,11,29),'Plan de tareas'!$I$35&gt;=DATE(2026,11,23)),1,0)</f>
        <v>0</v>
      </c>
      <c r="P34" s="32">
        <f>IF(AND('Plan de tareas'!$H$35&lt;=DATE(2026,12,6),'Plan de tareas'!$I$35&gt;=DATE(2026,11,30)),1,0)</f>
        <v>0</v>
      </c>
    </row>
    <row r="35" spans="1:16" x14ac:dyDescent="0.25">
      <c r="A35" s="33" t="s">
        <v>101</v>
      </c>
      <c r="B35" s="34" t="s">
        <v>102</v>
      </c>
      <c r="C35" s="35" t="s">
        <v>15</v>
      </c>
      <c r="D35" s="32">
        <f>IF(AND('Plan de tareas'!$H$36&lt;=DATE(2026,9,13),'Plan de tareas'!$I$36&gt;=DATE(2026,9,7)),1,0)</f>
        <v>0</v>
      </c>
      <c r="E35" s="32">
        <f>IF(AND('Plan de tareas'!$H$36&lt;=DATE(2026,9,20),'Plan de tareas'!$I$36&gt;=DATE(2026,9,14)),1,0)</f>
        <v>0</v>
      </c>
      <c r="F35" s="32">
        <f>IF(AND('Plan de tareas'!$H$36&lt;=DATE(2026,9,27),'Plan de tareas'!$I$36&gt;=DATE(2026,9,21)),1,0)</f>
        <v>0</v>
      </c>
      <c r="G35" s="32">
        <f>IF(AND('Plan de tareas'!$H$36&lt;=DATE(2026,10,4),'Plan de tareas'!$I$36&gt;=DATE(2026,9,28)),1,0)</f>
        <v>0</v>
      </c>
      <c r="H35" s="32">
        <f>IF(AND('Plan de tareas'!$H$36&lt;=DATE(2026,10,11),'Plan de tareas'!$I$36&gt;=DATE(2026,10,5)),1,0)</f>
        <v>0</v>
      </c>
      <c r="I35" s="32">
        <f>IF(AND('Plan de tareas'!$H$36&lt;=DATE(2026,10,18),'Plan de tareas'!$I$36&gt;=DATE(2026,10,12)),1,0)</f>
        <v>0</v>
      </c>
      <c r="J35" s="32">
        <f>IF(AND('Plan de tareas'!$H$36&lt;=DATE(2026,10,25),'Plan de tareas'!$I$36&gt;=DATE(2026,10,19)),1,0)</f>
        <v>0</v>
      </c>
      <c r="K35" s="32">
        <f>IF(AND('Plan de tareas'!$H$36&lt;=DATE(2026,11,1),'Plan de tareas'!$I$36&gt;=DATE(2026,10,26)),1,0)</f>
        <v>0</v>
      </c>
      <c r="L35" s="32">
        <f>IF(AND('Plan de tareas'!$H$36&lt;=DATE(2026,11,8),'Plan de tareas'!$I$36&gt;=DATE(2026,11,2)),1,0)</f>
        <v>0</v>
      </c>
      <c r="M35" s="32">
        <f>IF(AND('Plan de tareas'!$H$36&lt;=DATE(2026,11,15),'Plan de tareas'!$I$36&gt;=DATE(2026,11,9)),1,0)</f>
        <v>1</v>
      </c>
      <c r="N35" s="32">
        <f>IF(AND('Plan de tareas'!$H$36&lt;=DATE(2026,11,22),'Plan de tareas'!$I$36&gt;=DATE(2026,11,16)),1,0)</f>
        <v>0</v>
      </c>
      <c r="O35" s="32">
        <f>IF(AND('Plan de tareas'!$H$36&lt;=DATE(2026,11,29),'Plan de tareas'!$I$36&gt;=DATE(2026,11,23)),1,0)</f>
        <v>0</v>
      </c>
      <c r="P35" s="32">
        <f>IF(AND('Plan de tareas'!$H$36&lt;=DATE(2026,12,6),'Plan de tareas'!$I$36&gt;=DATE(2026,11,30)),1,0)</f>
        <v>0</v>
      </c>
    </row>
    <row r="36" spans="1:16" x14ac:dyDescent="0.25">
      <c r="A36" s="33" t="s">
        <v>103</v>
      </c>
      <c r="B36" s="34" t="s">
        <v>104</v>
      </c>
      <c r="C36" s="35" t="s">
        <v>15</v>
      </c>
      <c r="D36" s="32">
        <f>IF(AND('Plan de tareas'!$H$37&lt;=DATE(2026,9,13),'Plan de tareas'!$I$37&gt;=DATE(2026,9,7)),1,0)</f>
        <v>0</v>
      </c>
      <c r="E36" s="32">
        <f>IF(AND('Plan de tareas'!$H$37&lt;=DATE(2026,9,20),'Plan de tareas'!$I$37&gt;=DATE(2026,9,14)),1,0)</f>
        <v>0</v>
      </c>
      <c r="F36" s="32">
        <f>IF(AND('Plan de tareas'!$H$37&lt;=DATE(2026,9,27),'Plan de tareas'!$I$37&gt;=DATE(2026,9,21)),1,0)</f>
        <v>0</v>
      </c>
      <c r="G36" s="32">
        <f>IF(AND('Plan de tareas'!$H$37&lt;=DATE(2026,10,4),'Plan de tareas'!$I$37&gt;=DATE(2026,9,28)),1,0)</f>
        <v>0</v>
      </c>
      <c r="H36" s="32">
        <f>IF(AND('Plan de tareas'!$H$37&lt;=DATE(2026,10,11),'Plan de tareas'!$I$37&gt;=DATE(2026,10,5)),1,0)</f>
        <v>0</v>
      </c>
      <c r="I36" s="32">
        <f>IF(AND('Plan de tareas'!$H$37&lt;=DATE(2026,10,18),'Plan de tareas'!$I$37&gt;=DATE(2026,10,12)),1,0)</f>
        <v>0</v>
      </c>
      <c r="J36" s="32">
        <f>IF(AND('Plan de tareas'!$H$37&lt;=DATE(2026,10,25),'Plan de tareas'!$I$37&gt;=DATE(2026,10,19)),1,0)</f>
        <v>0</v>
      </c>
      <c r="K36" s="32">
        <f>IF(AND('Plan de tareas'!$H$37&lt;=DATE(2026,11,1),'Plan de tareas'!$I$37&gt;=DATE(2026,10,26)),1,0)</f>
        <v>0</v>
      </c>
      <c r="L36" s="32">
        <f>IF(AND('Plan de tareas'!$H$37&lt;=DATE(2026,11,8),'Plan de tareas'!$I$37&gt;=DATE(2026,11,2)),1,0)</f>
        <v>0</v>
      </c>
      <c r="M36" s="32">
        <f>IF(AND('Plan de tareas'!$H$37&lt;=DATE(2026,11,15),'Plan de tareas'!$I$37&gt;=DATE(2026,11,9)),1,0)</f>
        <v>1</v>
      </c>
      <c r="N36" s="32">
        <f>IF(AND('Plan de tareas'!$H$37&lt;=DATE(2026,11,22),'Plan de tareas'!$I$37&gt;=DATE(2026,11,16)),1,0)</f>
        <v>0</v>
      </c>
      <c r="O36" s="32">
        <f>IF(AND('Plan de tareas'!$H$37&lt;=DATE(2026,11,29),'Plan de tareas'!$I$37&gt;=DATE(2026,11,23)),1,0)</f>
        <v>0</v>
      </c>
      <c r="P36" s="32">
        <f>IF(AND('Plan de tareas'!$H$37&lt;=DATE(2026,12,6),'Plan de tareas'!$I$37&gt;=DATE(2026,11,30)),1,0)</f>
        <v>0</v>
      </c>
    </row>
    <row r="37" spans="1:16" x14ac:dyDescent="0.25">
      <c r="A37" s="33" t="s">
        <v>106</v>
      </c>
      <c r="B37" s="34" t="s">
        <v>107</v>
      </c>
      <c r="C37" s="35" t="s">
        <v>15</v>
      </c>
      <c r="D37" s="32">
        <f>IF(AND('Plan de tareas'!$H$38&lt;=DATE(2026,9,13),'Plan de tareas'!$I$38&gt;=DATE(2026,9,7)),1,0)</f>
        <v>0</v>
      </c>
      <c r="E37" s="32">
        <f>IF(AND('Plan de tareas'!$H$38&lt;=DATE(2026,9,20),'Plan de tareas'!$I$38&gt;=DATE(2026,9,14)),1,0)</f>
        <v>0</v>
      </c>
      <c r="F37" s="32">
        <f>IF(AND('Plan de tareas'!$H$38&lt;=DATE(2026,9,27),'Plan de tareas'!$I$38&gt;=DATE(2026,9,21)),1,0)</f>
        <v>0</v>
      </c>
      <c r="G37" s="32">
        <f>IF(AND('Plan de tareas'!$H$38&lt;=DATE(2026,10,4),'Plan de tareas'!$I$38&gt;=DATE(2026,9,28)),1,0)</f>
        <v>0</v>
      </c>
      <c r="H37" s="32">
        <f>IF(AND('Plan de tareas'!$H$38&lt;=DATE(2026,10,11),'Plan de tareas'!$I$38&gt;=DATE(2026,10,5)),1,0)</f>
        <v>0</v>
      </c>
      <c r="I37" s="32">
        <f>IF(AND('Plan de tareas'!$H$38&lt;=DATE(2026,10,18),'Plan de tareas'!$I$38&gt;=DATE(2026,10,12)),1,0)</f>
        <v>0</v>
      </c>
      <c r="J37" s="32">
        <f>IF(AND('Plan de tareas'!$H$38&lt;=DATE(2026,10,25),'Plan de tareas'!$I$38&gt;=DATE(2026,10,19)),1,0)</f>
        <v>0</v>
      </c>
      <c r="K37" s="32">
        <f>IF(AND('Plan de tareas'!$H$38&lt;=DATE(2026,11,1),'Plan de tareas'!$I$38&gt;=DATE(2026,10,26)),1,0)</f>
        <v>0</v>
      </c>
      <c r="L37" s="32">
        <f>IF(AND('Plan de tareas'!$H$38&lt;=DATE(2026,11,8),'Plan de tareas'!$I$38&gt;=DATE(2026,11,2)),1,0)</f>
        <v>0</v>
      </c>
      <c r="M37" s="32">
        <f>IF(AND('Plan de tareas'!$H$38&lt;=DATE(2026,11,15),'Plan de tareas'!$I$38&gt;=DATE(2026,11,9)),1,0)</f>
        <v>1</v>
      </c>
      <c r="N37" s="32">
        <f>IF(AND('Plan de tareas'!$H$38&lt;=DATE(2026,11,22),'Plan de tareas'!$I$38&gt;=DATE(2026,11,16)),1,0)</f>
        <v>0</v>
      </c>
      <c r="O37" s="32">
        <f>IF(AND('Plan de tareas'!$H$38&lt;=DATE(2026,11,29),'Plan de tareas'!$I$38&gt;=DATE(2026,11,23)),1,0)</f>
        <v>0</v>
      </c>
      <c r="P37" s="32">
        <f>IF(AND('Plan de tareas'!$H$38&lt;=DATE(2026,12,6),'Plan de tareas'!$I$38&gt;=DATE(2026,11,30)),1,0)</f>
        <v>0</v>
      </c>
    </row>
    <row r="38" spans="1:16" x14ac:dyDescent="0.25">
      <c r="A38" s="33" t="s">
        <v>108</v>
      </c>
      <c r="B38" s="34" t="s">
        <v>109</v>
      </c>
      <c r="C38" s="35" t="s">
        <v>15</v>
      </c>
      <c r="D38" s="32">
        <f>IF(AND('Plan de tareas'!$H$39&lt;=DATE(2026,9,13),'Plan de tareas'!$I$39&gt;=DATE(2026,9,7)),1,0)</f>
        <v>0</v>
      </c>
      <c r="E38" s="32">
        <f>IF(AND('Plan de tareas'!$H$39&lt;=DATE(2026,9,20),'Plan de tareas'!$I$39&gt;=DATE(2026,9,14)),1,0)</f>
        <v>0</v>
      </c>
      <c r="F38" s="32">
        <f>IF(AND('Plan de tareas'!$H$39&lt;=DATE(2026,9,27),'Plan de tareas'!$I$39&gt;=DATE(2026,9,21)),1,0)</f>
        <v>0</v>
      </c>
      <c r="G38" s="32">
        <f>IF(AND('Plan de tareas'!$H$39&lt;=DATE(2026,10,4),'Plan de tareas'!$I$39&gt;=DATE(2026,9,28)),1,0)</f>
        <v>0</v>
      </c>
      <c r="H38" s="32">
        <f>IF(AND('Plan de tareas'!$H$39&lt;=DATE(2026,10,11),'Plan de tareas'!$I$39&gt;=DATE(2026,10,5)),1,0)</f>
        <v>0</v>
      </c>
      <c r="I38" s="32">
        <f>IF(AND('Plan de tareas'!$H$39&lt;=DATE(2026,10,18),'Plan de tareas'!$I$39&gt;=DATE(2026,10,12)),1,0)</f>
        <v>0</v>
      </c>
      <c r="J38" s="32">
        <f>IF(AND('Plan de tareas'!$H$39&lt;=DATE(2026,10,25),'Plan de tareas'!$I$39&gt;=DATE(2026,10,19)),1,0)</f>
        <v>0</v>
      </c>
      <c r="K38" s="32">
        <f>IF(AND('Plan de tareas'!$H$39&lt;=DATE(2026,11,1),'Plan de tareas'!$I$39&gt;=DATE(2026,10,26)),1,0)</f>
        <v>0</v>
      </c>
      <c r="L38" s="32">
        <f>IF(AND('Plan de tareas'!$H$39&lt;=DATE(2026,11,8),'Plan de tareas'!$I$39&gt;=DATE(2026,11,2)),1,0)</f>
        <v>0</v>
      </c>
      <c r="M38" s="32">
        <f>IF(AND('Plan de tareas'!$H$39&lt;=DATE(2026,11,15),'Plan de tareas'!$I$39&gt;=DATE(2026,11,9)),1,0)</f>
        <v>0</v>
      </c>
      <c r="N38" s="32">
        <f>IF(AND('Plan de tareas'!$H$39&lt;=DATE(2026,11,22),'Plan de tareas'!$I$39&gt;=DATE(2026,11,16)),1,0)</f>
        <v>1</v>
      </c>
      <c r="O38" s="32">
        <f>IF(AND('Plan de tareas'!$H$39&lt;=DATE(2026,11,29),'Plan de tareas'!$I$39&gt;=DATE(2026,11,23)),1,0)</f>
        <v>0</v>
      </c>
      <c r="P38" s="32">
        <f>IF(AND('Plan de tareas'!$H$39&lt;=DATE(2026,12,6),'Plan de tareas'!$I$39&gt;=DATE(2026,11,30)),1,0)</f>
        <v>0</v>
      </c>
    </row>
    <row r="39" spans="1:16" x14ac:dyDescent="0.25">
      <c r="A39" s="33" t="s">
        <v>110</v>
      </c>
      <c r="B39" s="34" t="s">
        <v>111</v>
      </c>
      <c r="C39" s="35" t="s">
        <v>15</v>
      </c>
      <c r="D39" s="32">
        <f>IF(AND('Plan de tareas'!$H$40&lt;=DATE(2026,9,13),'Plan de tareas'!$I$40&gt;=DATE(2026,9,7)),1,0)</f>
        <v>0</v>
      </c>
      <c r="E39" s="32">
        <f>IF(AND('Plan de tareas'!$H$40&lt;=DATE(2026,9,20),'Plan de tareas'!$I$40&gt;=DATE(2026,9,14)),1,0)</f>
        <v>0</v>
      </c>
      <c r="F39" s="32">
        <f>IF(AND('Plan de tareas'!$H$40&lt;=DATE(2026,9,27),'Plan de tareas'!$I$40&gt;=DATE(2026,9,21)),1,0)</f>
        <v>0</v>
      </c>
      <c r="G39" s="32">
        <f>IF(AND('Plan de tareas'!$H$40&lt;=DATE(2026,10,4),'Plan de tareas'!$I$40&gt;=DATE(2026,9,28)),1,0)</f>
        <v>0</v>
      </c>
      <c r="H39" s="32">
        <f>IF(AND('Plan de tareas'!$H$40&lt;=DATE(2026,10,11),'Plan de tareas'!$I$40&gt;=DATE(2026,10,5)),1,0)</f>
        <v>0</v>
      </c>
      <c r="I39" s="32">
        <f>IF(AND('Plan de tareas'!$H$40&lt;=DATE(2026,10,18),'Plan de tareas'!$I$40&gt;=DATE(2026,10,12)),1,0)</f>
        <v>0</v>
      </c>
      <c r="J39" s="32">
        <f>IF(AND('Plan de tareas'!$H$40&lt;=DATE(2026,10,25),'Plan de tareas'!$I$40&gt;=DATE(2026,10,19)),1,0)</f>
        <v>0</v>
      </c>
      <c r="K39" s="32">
        <f>IF(AND('Plan de tareas'!$H$40&lt;=DATE(2026,11,1),'Plan de tareas'!$I$40&gt;=DATE(2026,10,26)),1,0)</f>
        <v>0</v>
      </c>
      <c r="L39" s="32">
        <f>IF(AND('Plan de tareas'!$H$40&lt;=DATE(2026,11,8),'Plan de tareas'!$I$40&gt;=DATE(2026,11,2)),1,0)</f>
        <v>0</v>
      </c>
      <c r="M39" s="32">
        <f>IF(AND('Plan de tareas'!$H$40&lt;=DATE(2026,11,15),'Plan de tareas'!$I$40&gt;=DATE(2026,11,9)),1,0)</f>
        <v>0</v>
      </c>
      <c r="N39" s="32">
        <f>IF(AND('Plan de tareas'!$H$40&lt;=DATE(2026,11,22),'Plan de tareas'!$I$40&gt;=DATE(2026,11,16)),1,0)</f>
        <v>1</v>
      </c>
      <c r="O39" s="32">
        <f>IF(AND('Plan de tareas'!$H$40&lt;=DATE(2026,11,29),'Plan de tareas'!$I$40&gt;=DATE(2026,11,23)),1,0)</f>
        <v>0</v>
      </c>
      <c r="P39" s="32">
        <f>IF(AND('Plan de tareas'!$H$40&lt;=DATE(2026,12,6),'Plan de tareas'!$I$40&gt;=DATE(2026,11,30)),1,0)</f>
        <v>0</v>
      </c>
    </row>
    <row r="40" spans="1:16" x14ac:dyDescent="0.25">
      <c r="A40" s="33" t="s">
        <v>112</v>
      </c>
      <c r="B40" s="34" t="s">
        <v>113</v>
      </c>
      <c r="C40" s="35" t="s">
        <v>15</v>
      </c>
      <c r="D40" s="32">
        <f>IF(AND('Plan de tareas'!$H$41&lt;=DATE(2026,9,13),'Plan de tareas'!$I$41&gt;=DATE(2026,9,7)),1,0)</f>
        <v>0</v>
      </c>
      <c r="E40" s="32">
        <f>IF(AND('Plan de tareas'!$H$41&lt;=DATE(2026,9,20),'Plan de tareas'!$I$41&gt;=DATE(2026,9,14)),1,0)</f>
        <v>0</v>
      </c>
      <c r="F40" s="32">
        <f>IF(AND('Plan de tareas'!$H$41&lt;=DATE(2026,9,27),'Plan de tareas'!$I$41&gt;=DATE(2026,9,21)),1,0)</f>
        <v>0</v>
      </c>
      <c r="G40" s="32">
        <f>IF(AND('Plan de tareas'!$H$41&lt;=DATE(2026,10,4),'Plan de tareas'!$I$41&gt;=DATE(2026,9,28)),1,0)</f>
        <v>0</v>
      </c>
      <c r="H40" s="32">
        <f>IF(AND('Plan de tareas'!$H$41&lt;=DATE(2026,10,11),'Plan de tareas'!$I$41&gt;=DATE(2026,10,5)),1,0)</f>
        <v>0</v>
      </c>
      <c r="I40" s="32">
        <f>IF(AND('Plan de tareas'!$H$41&lt;=DATE(2026,10,18),'Plan de tareas'!$I$41&gt;=DATE(2026,10,12)),1,0)</f>
        <v>0</v>
      </c>
      <c r="J40" s="32">
        <f>IF(AND('Plan de tareas'!$H$41&lt;=DATE(2026,10,25),'Plan de tareas'!$I$41&gt;=DATE(2026,10,19)),1,0)</f>
        <v>0</v>
      </c>
      <c r="K40" s="32">
        <f>IF(AND('Plan de tareas'!$H$41&lt;=DATE(2026,11,1),'Plan de tareas'!$I$41&gt;=DATE(2026,10,26)),1,0)</f>
        <v>0</v>
      </c>
      <c r="L40" s="32">
        <f>IF(AND('Plan de tareas'!$H$41&lt;=DATE(2026,11,8),'Plan de tareas'!$I$41&gt;=DATE(2026,11,2)),1,0)</f>
        <v>0</v>
      </c>
      <c r="M40" s="32">
        <f>IF(AND('Plan de tareas'!$H$41&lt;=DATE(2026,11,15),'Plan de tareas'!$I$41&gt;=DATE(2026,11,9)),1,0)</f>
        <v>0</v>
      </c>
      <c r="N40" s="32">
        <f>IF(AND('Plan de tareas'!$H$41&lt;=DATE(2026,11,22),'Plan de tareas'!$I$41&gt;=DATE(2026,11,16)),1,0)</f>
        <v>0</v>
      </c>
      <c r="O40" s="32">
        <f>IF(AND('Plan de tareas'!$H$41&lt;=DATE(2026,11,29),'Plan de tareas'!$I$41&gt;=DATE(2026,11,23)),1,0)</f>
        <v>1</v>
      </c>
      <c r="P40" s="32">
        <f>IF(AND('Plan de tareas'!$H$41&lt;=DATE(2026,12,6),'Plan de tareas'!$I$41&gt;=DATE(2026,11,30)),1,0)</f>
        <v>0</v>
      </c>
    </row>
    <row r="41" spans="1:16" x14ac:dyDescent="0.25">
      <c r="A41" s="33" t="s">
        <v>116</v>
      </c>
      <c r="B41" s="34" t="s">
        <v>117</v>
      </c>
      <c r="C41" s="35" t="s">
        <v>15</v>
      </c>
      <c r="D41" s="32">
        <f>IF(AND('Plan de tareas'!$H$42&lt;=DATE(2026,9,13),'Plan de tareas'!$I$42&gt;=DATE(2026,9,7)),1,0)</f>
        <v>0</v>
      </c>
      <c r="E41" s="32">
        <f>IF(AND('Plan de tareas'!$H$42&lt;=DATE(2026,9,20),'Plan de tareas'!$I$42&gt;=DATE(2026,9,14)),1,0)</f>
        <v>0</v>
      </c>
      <c r="F41" s="32">
        <f>IF(AND('Plan de tareas'!$H$42&lt;=DATE(2026,9,27),'Plan de tareas'!$I$42&gt;=DATE(2026,9,21)),1,0)</f>
        <v>0</v>
      </c>
      <c r="G41" s="32">
        <f>IF(AND('Plan de tareas'!$H$42&lt;=DATE(2026,10,4),'Plan de tareas'!$I$42&gt;=DATE(2026,9,28)),1,0)</f>
        <v>0</v>
      </c>
      <c r="H41" s="32">
        <f>IF(AND('Plan de tareas'!$H$42&lt;=DATE(2026,10,11),'Plan de tareas'!$I$42&gt;=DATE(2026,10,5)),1,0)</f>
        <v>0</v>
      </c>
      <c r="I41" s="32">
        <f>IF(AND('Plan de tareas'!$H$42&lt;=DATE(2026,10,18),'Plan de tareas'!$I$42&gt;=DATE(2026,10,12)),1,0)</f>
        <v>0</v>
      </c>
      <c r="J41" s="32">
        <f>IF(AND('Plan de tareas'!$H$42&lt;=DATE(2026,10,25),'Plan de tareas'!$I$42&gt;=DATE(2026,10,19)),1,0)</f>
        <v>0</v>
      </c>
      <c r="K41" s="32">
        <f>IF(AND('Plan de tareas'!$H$42&lt;=DATE(2026,11,1),'Plan de tareas'!$I$42&gt;=DATE(2026,10,26)),1,0)</f>
        <v>0</v>
      </c>
      <c r="L41" s="32">
        <f>IF(AND('Plan de tareas'!$H$42&lt;=DATE(2026,11,8),'Plan de tareas'!$I$42&gt;=DATE(2026,11,2)),1,0)</f>
        <v>0</v>
      </c>
      <c r="M41" s="32">
        <f>IF(AND('Plan de tareas'!$H$42&lt;=DATE(2026,11,15),'Plan de tareas'!$I$42&gt;=DATE(2026,11,9)),1,0)</f>
        <v>0</v>
      </c>
      <c r="N41" s="32">
        <f>IF(AND('Plan de tareas'!$H$42&lt;=DATE(2026,11,22),'Plan de tareas'!$I$42&gt;=DATE(2026,11,16)),1,0)</f>
        <v>0</v>
      </c>
      <c r="O41" s="32">
        <f>IF(AND('Plan de tareas'!$H$42&lt;=DATE(2026,11,29),'Plan de tareas'!$I$42&gt;=DATE(2026,11,23)),1,0)</f>
        <v>1</v>
      </c>
      <c r="P41" s="32">
        <f>IF(AND('Plan de tareas'!$H$42&lt;=DATE(2026,12,6),'Plan de tareas'!$I$42&gt;=DATE(2026,11,30)),1,0)</f>
        <v>0</v>
      </c>
    </row>
    <row r="42" spans="1:16" x14ac:dyDescent="0.25">
      <c r="A42" s="33" t="s">
        <v>120</v>
      </c>
      <c r="B42" s="34" t="s">
        <v>121</v>
      </c>
      <c r="C42" s="35" t="s">
        <v>15</v>
      </c>
      <c r="D42" s="32">
        <f>IF(AND('Plan de tareas'!$H$43&lt;=DATE(2026,9,13),'Plan de tareas'!$I$43&gt;=DATE(2026,9,7)),1,0)</f>
        <v>0</v>
      </c>
      <c r="E42" s="32">
        <f>IF(AND('Plan de tareas'!$H$43&lt;=DATE(2026,9,20),'Plan de tareas'!$I$43&gt;=DATE(2026,9,14)),1,0)</f>
        <v>0</v>
      </c>
      <c r="F42" s="32">
        <f>IF(AND('Plan de tareas'!$H$43&lt;=DATE(2026,9,27),'Plan de tareas'!$I$43&gt;=DATE(2026,9,21)),1,0)</f>
        <v>0</v>
      </c>
      <c r="G42" s="32">
        <f>IF(AND('Plan de tareas'!$H$43&lt;=DATE(2026,10,4),'Plan de tareas'!$I$43&gt;=DATE(2026,9,28)),1,0)</f>
        <v>0</v>
      </c>
      <c r="H42" s="32">
        <f>IF(AND('Plan de tareas'!$H$43&lt;=DATE(2026,10,11),'Plan de tareas'!$I$43&gt;=DATE(2026,10,5)),1,0)</f>
        <v>0</v>
      </c>
      <c r="I42" s="32">
        <f>IF(AND('Plan de tareas'!$H$43&lt;=DATE(2026,10,18),'Plan de tareas'!$I$43&gt;=DATE(2026,10,12)),1,0)</f>
        <v>0</v>
      </c>
      <c r="J42" s="32">
        <f>IF(AND('Plan de tareas'!$H$43&lt;=DATE(2026,10,25),'Plan de tareas'!$I$43&gt;=DATE(2026,10,19)),1,0)</f>
        <v>0</v>
      </c>
      <c r="K42" s="32">
        <f>IF(AND('Plan de tareas'!$H$43&lt;=DATE(2026,11,1),'Plan de tareas'!$I$43&gt;=DATE(2026,10,26)),1,0)</f>
        <v>0</v>
      </c>
      <c r="L42" s="32">
        <f>IF(AND('Plan de tareas'!$H$43&lt;=DATE(2026,11,8),'Plan de tareas'!$I$43&gt;=DATE(2026,11,2)),1,0)</f>
        <v>0</v>
      </c>
      <c r="M42" s="32">
        <f>IF(AND('Plan de tareas'!$H$43&lt;=DATE(2026,11,15),'Plan de tareas'!$I$43&gt;=DATE(2026,11,9)),1,0)</f>
        <v>0</v>
      </c>
      <c r="N42" s="32">
        <f>IF(AND('Plan de tareas'!$H$43&lt;=DATE(2026,11,22),'Plan de tareas'!$I$43&gt;=DATE(2026,11,16)),1,0)</f>
        <v>0</v>
      </c>
      <c r="O42" s="32">
        <f>IF(AND('Plan de tareas'!$H$43&lt;=DATE(2026,11,29),'Plan de tareas'!$I$43&gt;=DATE(2026,11,23)),1,0)</f>
        <v>0</v>
      </c>
      <c r="P42" s="32">
        <f>IF(AND('Plan de tareas'!$H$43&lt;=DATE(2026,12,6),'Plan de tareas'!$I$43&gt;=DATE(2026,11,30)),1,0)</f>
        <v>1</v>
      </c>
    </row>
    <row r="43" spans="1:16" x14ac:dyDescent="0.25">
      <c r="A43" s="42" t="s">
        <v>122</v>
      </c>
      <c r="B43" s="43" t="s">
        <v>123</v>
      </c>
      <c r="C43" s="44" t="s">
        <v>15</v>
      </c>
      <c r="D43" s="32">
        <f>IF(AND('Plan de tareas'!$H$44&lt;=DATE(2026,9,13),'Plan de tareas'!$I$44&gt;=DATE(2026,9,7)),1,0)</f>
        <v>0</v>
      </c>
      <c r="E43" s="32">
        <f>IF(AND('Plan de tareas'!$H$44&lt;=DATE(2026,9,20),'Plan de tareas'!$I$44&gt;=DATE(2026,9,14)),1,0)</f>
        <v>0</v>
      </c>
      <c r="F43" s="32">
        <f>IF(AND('Plan de tareas'!$H$44&lt;=DATE(2026,9,27),'Plan de tareas'!$I$44&gt;=DATE(2026,9,21)),1,0)</f>
        <v>0</v>
      </c>
      <c r="G43" s="32">
        <f>IF(AND('Plan de tareas'!$H$44&lt;=DATE(2026,10,4),'Plan de tareas'!$I$44&gt;=DATE(2026,9,28)),1,0)</f>
        <v>0</v>
      </c>
      <c r="H43" s="32">
        <f>IF(AND('Plan de tareas'!$H$44&lt;=DATE(2026,10,11),'Plan de tareas'!$I$44&gt;=DATE(2026,10,5)),1,0)</f>
        <v>0</v>
      </c>
      <c r="I43" s="32">
        <f>IF(AND('Plan de tareas'!$H$44&lt;=DATE(2026,10,18),'Plan de tareas'!$I$44&gt;=DATE(2026,10,12)),1,0)</f>
        <v>0</v>
      </c>
      <c r="J43" s="32">
        <f>IF(AND('Plan de tareas'!$H$44&lt;=DATE(2026,10,25),'Plan de tareas'!$I$44&gt;=DATE(2026,10,19)),1,0)</f>
        <v>0</v>
      </c>
      <c r="K43" s="32">
        <f>IF(AND('Plan de tareas'!$H$44&lt;=DATE(2026,11,1),'Plan de tareas'!$I$44&gt;=DATE(2026,10,26)),1,0)</f>
        <v>0</v>
      </c>
      <c r="L43" s="32">
        <f>IF(AND('Plan de tareas'!$H$44&lt;=DATE(2026,11,8),'Plan de tareas'!$I$44&gt;=DATE(2026,11,2)),1,0)</f>
        <v>0</v>
      </c>
      <c r="M43" s="32">
        <f>IF(AND('Plan de tareas'!$H$44&lt;=DATE(2026,11,15),'Plan de tareas'!$I$44&gt;=DATE(2026,11,9)),1,0)</f>
        <v>0</v>
      </c>
      <c r="N43" s="32">
        <f>IF(AND('Plan de tareas'!$H$44&lt;=DATE(2026,11,22),'Plan de tareas'!$I$44&gt;=DATE(2026,11,16)),1,0)</f>
        <v>0</v>
      </c>
      <c r="O43" s="32">
        <f>IF(AND('Plan de tareas'!$H$44&lt;=DATE(2026,11,29),'Plan de tareas'!$I$44&gt;=DATE(2026,11,23)),1,0)</f>
        <v>0</v>
      </c>
      <c r="P43" s="32">
        <f>IF(AND('Plan de tareas'!$H$44&lt;=DATE(2026,12,6),'Plan de tareas'!$I$44&gt;=DATE(2026,11,30)),1,0)</f>
        <v>1</v>
      </c>
    </row>
    <row r="44" spans="1:16" x14ac:dyDescent="0.25">
      <c r="A44" s="33" t="s">
        <v>125</v>
      </c>
      <c r="B44" s="34" t="s">
        <v>126</v>
      </c>
      <c r="C44" s="45" t="s">
        <v>127</v>
      </c>
      <c r="D44" s="32">
        <f>IF(AND('Plan de tareas'!$H$45&lt;=DATE(2026,9,13),'Plan de tareas'!$I$45&gt;=DATE(2026,9,7)),1,0)</f>
        <v>1</v>
      </c>
      <c r="E44" s="32">
        <f>IF(AND('Plan de tareas'!$H$45&lt;=DATE(2026,9,20),'Plan de tareas'!$I$45&gt;=DATE(2026,9,14)),1,0)</f>
        <v>0</v>
      </c>
      <c r="F44" s="32">
        <f>IF(AND('Plan de tareas'!$H$45&lt;=DATE(2026,9,27),'Plan de tareas'!$I$45&gt;=DATE(2026,9,21)),1,0)</f>
        <v>0</v>
      </c>
      <c r="G44" s="32">
        <f>IF(AND('Plan de tareas'!$H$45&lt;=DATE(2026,10,4),'Plan de tareas'!$I$45&gt;=DATE(2026,9,28)),1,0)</f>
        <v>0</v>
      </c>
      <c r="H44" s="32">
        <f>IF(AND('Plan de tareas'!$H$45&lt;=DATE(2026,10,11),'Plan de tareas'!$I$45&gt;=DATE(2026,10,5)),1,0)</f>
        <v>0</v>
      </c>
      <c r="I44" s="32">
        <f>IF(AND('Plan de tareas'!$H$45&lt;=DATE(2026,10,18),'Plan de tareas'!$I$45&gt;=DATE(2026,10,12)),1,0)</f>
        <v>0</v>
      </c>
      <c r="J44" s="32">
        <f>IF(AND('Plan de tareas'!$H$45&lt;=DATE(2026,10,25),'Plan de tareas'!$I$45&gt;=DATE(2026,10,19)),1,0)</f>
        <v>0</v>
      </c>
      <c r="K44" s="32">
        <f>IF(AND('Plan de tareas'!$H$45&lt;=DATE(2026,11,1),'Plan de tareas'!$I$45&gt;=DATE(2026,10,26)),1,0)</f>
        <v>0</v>
      </c>
      <c r="L44" s="32">
        <f>IF(AND('Plan de tareas'!$H$45&lt;=DATE(2026,11,8),'Plan de tareas'!$I$45&gt;=DATE(2026,11,2)),1,0)</f>
        <v>0</v>
      </c>
      <c r="M44" s="32">
        <f>IF(AND('Plan de tareas'!$H$45&lt;=DATE(2026,11,15),'Plan de tareas'!$I$45&gt;=DATE(2026,11,9)),1,0)</f>
        <v>0</v>
      </c>
      <c r="N44" s="32">
        <f>IF(AND('Plan de tareas'!$H$45&lt;=DATE(2026,11,22),'Plan de tareas'!$I$45&gt;=DATE(2026,11,16)),1,0)</f>
        <v>0</v>
      </c>
      <c r="O44" s="32">
        <f>IF(AND('Plan de tareas'!$H$45&lt;=DATE(2026,11,29),'Plan de tareas'!$I$45&gt;=DATE(2026,11,23)),1,0)</f>
        <v>0</v>
      </c>
      <c r="P44" s="32">
        <f>IF(AND('Plan de tareas'!$H$45&lt;=DATE(2026,12,6),'Plan de tareas'!$I$45&gt;=DATE(2026,11,30)),1,0)</f>
        <v>0</v>
      </c>
    </row>
    <row r="45" spans="1:16" x14ac:dyDescent="0.25">
      <c r="A45" s="33" t="s">
        <v>129</v>
      </c>
      <c r="B45" s="34" t="s">
        <v>130</v>
      </c>
      <c r="C45" s="45" t="s">
        <v>127</v>
      </c>
      <c r="D45" s="32">
        <f>IF(AND('Plan de tareas'!$H$46&lt;=DATE(2026,9,13),'Plan de tareas'!$I$46&gt;=DATE(2026,9,7)),1,0)</f>
        <v>0</v>
      </c>
      <c r="E45" s="32">
        <f>IF(AND('Plan de tareas'!$H$46&lt;=DATE(2026,9,20),'Plan de tareas'!$I$46&gt;=DATE(2026,9,14)),1,0)</f>
        <v>0</v>
      </c>
      <c r="F45" s="32">
        <f>IF(AND('Plan de tareas'!$H$46&lt;=DATE(2026,9,27),'Plan de tareas'!$I$46&gt;=DATE(2026,9,21)),1,0)</f>
        <v>1</v>
      </c>
      <c r="G45" s="32">
        <f>IF(AND('Plan de tareas'!$H$46&lt;=DATE(2026,10,4),'Plan de tareas'!$I$46&gt;=DATE(2026,9,28)),1,0)</f>
        <v>0</v>
      </c>
      <c r="H45" s="32">
        <f>IF(AND('Plan de tareas'!$H$46&lt;=DATE(2026,10,11),'Plan de tareas'!$I$46&gt;=DATE(2026,10,5)),1,0)</f>
        <v>0</v>
      </c>
      <c r="I45" s="32">
        <f>IF(AND('Plan de tareas'!$H$46&lt;=DATE(2026,10,18),'Plan de tareas'!$I$46&gt;=DATE(2026,10,12)),1,0)</f>
        <v>0</v>
      </c>
      <c r="J45" s="32">
        <f>IF(AND('Plan de tareas'!$H$46&lt;=DATE(2026,10,25),'Plan de tareas'!$I$46&gt;=DATE(2026,10,19)),1,0)</f>
        <v>0</v>
      </c>
      <c r="K45" s="32">
        <f>IF(AND('Plan de tareas'!$H$46&lt;=DATE(2026,11,1),'Plan de tareas'!$I$46&gt;=DATE(2026,10,26)),1,0)</f>
        <v>0</v>
      </c>
      <c r="L45" s="32">
        <f>IF(AND('Plan de tareas'!$H$46&lt;=DATE(2026,11,8),'Plan de tareas'!$I$46&gt;=DATE(2026,11,2)),1,0)</f>
        <v>0</v>
      </c>
      <c r="M45" s="32">
        <f>IF(AND('Plan de tareas'!$H$46&lt;=DATE(2026,11,15),'Plan de tareas'!$I$46&gt;=DATE(2026,11,9)),1,0)</f>
        <v>0</v>
      </c>
      <c r="N45" s="32">
        <f>IF(AND('Plan de tareas'!$H$46&lt;=DATE(2026,11,22),'Plan de tareas'!$I$46&gt;=DATE(2026,11,16)),1,0)</f>
        <v>0</v>
      </c>
      <c r="O45" s="32">
        <f>IF(AND('Plan de tareas'!$H$46&lt;=DATE(2026,11,29),'Plan de tareas'!$I$46&gt;=DATE(2026,11,23)),1,0)</f>
        <v>0</v>
      </c>
      <c r="P45" s="32">
        <f>IF(AND('Plan de tareas'!$H$46&lt;=DATE(2026,12,6),'Plan de tareas'!$I$46&gt;=DATE(2026,11,30)),1,0)</f>
        <v>0</v>
      </c>
    </row>
    <row r="46" spans="1:16" x14ac:dyDescent="0.25">
      <c r="A46" s="33" t="s">
        <v>134</v>
      </c>
      <c r="B46" s="34" t="s">
        <v>135</v>
      </c>
      <c r="C46" s="45" t="s">
        <v>127</v>
      </c>
      <c r="D46" s="32">
        <f>IF(AND('Plan de tareas'!$H$47&lt;=DATE(2026,9,13),'Plan de tareas'!$I$47&gt;=DATE(2026,9,7)),1,0)</f>
        <v>0</v>
      </c>
      <c r="E46" s="32">
        <f>IF(AND('Plan de tareas'!$H$47&lt;=DATE(2026,9,20),'Plan de tareas'!$I$47&gt;=DATE(2026,9,14)),1,0)</f>
        <v>0</v>
      </c>
      <c r="F46" s="32">
        <f>IF(AND('Plan de tareas'!$H$47&lt;=DATE(2026,9,27),'Plan de tareas'!$I$47&gt;=DATE(2026,9,21)),1,0)</f>
        <v>1</v>
      </c>
      <c r="G46" s="32">
        <f>IF(AND('Plan de tareas'!$H$47&lt;=DATE(2026,10,4),'Plan de tareas'!$I$47&gt;=DATE(2026,9,28)),1,0)</f>
        <v>0</v>
      </c>
      <c r="H46" s="32">
        <f>IF(AND('Plan de tareas'!$H$47&lt;=DATE(2026,10,11),'Plan de tareas'!$I$47&gt;=DATE(2026,10,5)),1,0)</f>
        <v>0</v>
      </c>
      <c r="I46" s="32">
        <f>IF(AND('Plan de tareas'!$H$47&lt;=DATE(2026,10,18),'Plan de tareas'!$I$47&gt;=DATE(2026,10,12)),1,0)</f>
        <v>0</v>
      </c>
      <c r="J46" s="32">
        <f>IF(AND('Plan de tareas'!$H$47&lt;=DATE(2026,10,25),'Plan de tareas'!$I$47&gt;=DATE(2026,10,19)),1,0)</f>
        <v>0</v>
      </c>
      <c r="K46" s="32">
        <f>IF(AND('Plan de tareas'!$H$47&lt;=DATE(2026,11,1),'Plan de tareas'!$I$47&gt;=DATE(2026,10,26)),1,0)</f>
        <v>0</v>
      </c>
      <c r="L46" s="32">
        <f>IF(AND('Plan de tareas'!$H$47&lt;=DATE(2026,11,8),'Plan de tareas'!$I$47&gt;=DATE(2026,11,2)),1,0)</f>
        <v>0</v>
      </c>
      <c r="M46" s="32">
        <f>IF(AND('Plan de tareas'!$H$47&lt;=DATE(2026,11,15),'Plan de tareas'!$I$47&gt;=DATE(2026,11,9)),1,0)</f>
        <v>0</v>
      </c>
      <c r="N46" s="32">
        <f>IF(AND('Plan de tareas'!$H$47&lt;=DATE(2026,11,22),'Plan de tareas'!$I$47&gt;=DATE(2026,11,16)),1,0)</f>
        <v>0</v>
      </c>
      <c r="O46" s="32">
        <f>IF(AND('Plan de tareas'!$H$47&lt;=DATE(2026,11,29),'Plan de tareas'!$I$47&gt;=DATE(2026,11,23)),1,0)</f>
        <v>0</v>
      </c>
      <c r="P46" s="32">
        <f>IF(AND('Plan de tareas'!$H$47&lt;=DATE(2026,12,6),'Plan de tareas'!$I$47&gt;=DATE(2026,11,30)),1,0)</f>
        <v>0</v>
      </c>
    </row>
    <row r="47" spans="1:16" x14ac:dyDescent="0.25">
      <c r="A47" s="33" t="s">
        <v>136</v>
      </c>
      <c r="B47" s="34" t="s">
        <v>137</v>
      </c>
      <c r="C47" s="45" t="s">
        <v>127</v>
      </c>
      <c r="D47" s="32">
        <f>IF(AND('Plan de tareas'!$H$48&lt;=DATE(2026,9,13),'Plan de tareas'!$I$48&gt;=DATE(2026,9,7)),1,0)</f>
        <v>0</v>
      </c>
      <c r="E47" s="32">
        <f>IF(AND('Plan de tareas'!$H$48&lt;=DATE(2026,9,20),'Plan de tareas'!$I$48&gt;=DATE(2026,9,14)),1,0)</f>
        <v>0</v>
      </c>
      <c r="F47" s="32">
        <f>IF(AND('Plan de tareas'!$H$48&lt;=DATE(2026,9,27),'Plan de tareas'!$I$48&gt;=DATE(2026,9,21)),1,0)</f>
        <v>0</v>
      </c>
      <c r="G47" s="32">
        <f>IF(AND('Plan de tareas'!$H$48&lt;=DATE(2026,10,4),'Plan de tareas'!$I$48&gt;=DATE(2026,9,28)),1,0)</f>
        <v>0</v>
      </c>
      <c r="H47" s="32">
        <f>IF(AND('Plan de tareas'!$H$48&lt;=DATE(2026,10,11),'Plan de tareas'!$I$48&gt;=DATE(2026,10,5)),1,0)</f>
        <v>0</v>
      </c>
      <c r="I47" s="32">
        <f>IF(AND('Plan de tareas'!$H$48&lt;=DATE(2026,10,18),'Plan de tareas'!$I$48&gt;=DATE(2026,10,12)),1,0)</f>
        <v>1</v>
      </c>
      <c r="J47" s="32">
        <f>IF(AND('Plan de tareas'!$H$48&lt;=DATE(2026,10,25),'Plan de tareas'!$I$48&gt;=DATE(2026,10,19)),1,0)</f>
        <v>0</v>
      </c>
      <c r="K47" s="32">
        <f>IF(AND('Plan de tareas'!$H$48&lt;=DATE(2026,11,1),'Plan de tareas'!$I$48&gt;=DATE(2026,10,26)),1,0)</f>
        <v>0</v>
      </c>
      <c r="L47" s="32">
        <f>IF(AND('Plan de tareas'!$H$48&lt;=DATE(2026,11,8),'Plan de tareas'!$I$48&gt;=DATE(2026,11,2)),1,0)</f>
        <v>0</v>
      </c>
      <c r="M47" s="32">
        <f>IF(AND('Plan de tareas'!$H$48&lt;=DATE(2026,11,15),'Plan de tareas'!$I$48&gt;=DATE(2026,11,9)),1,0)</f>
        <v>0</v>
      </c>
      <c r="N47" s="32">
        <f>IF(AND('Plan de tareas'!$H$48&lt;=DATE(2026,11,22),'Plan de tareas'!$I$48&gt;=DATE(2026,11,16)),1,0)</f>
        <v>0</v>
      </c>
      <c r="O47" s="32">
        <f>IF(AND('Plan de tareas'!$H$48&lt;=DATE(2026,11,29),'Plan de tareas'!$I$48&gt;=DATE(2026,11,23)),1,0)</f>
        <v>0</v>
      </c>
      <c r="P47" s="32">
        <f>IF(AND('Plan de tareas'!$H$48&lt;=DATE(2026,12,6),'Plan de tareas'!$I$48&gt;=DATE(2026,11,30)),1,0)</f>
        <v>0</v>
      </c>
    </row>
    <row r="48" spans="1:16" x14ac:dyDescent="0.25">
      <c r="A48" s="33" t="s">
        <v>141</v>
      </c>
      <c r="B48" s="34" t="s">
        <v>142</v>
      </c>
      <c r="C48" s="45" t="s">
        <v>127</v>
      </c>
      <c r="D48" s="32">
        <f>IF(AND('Plan de tareas'!$H$49&lt;=DATE(2026,9,13),'Plan de tareas'!$I$49&gt;=DATE(2026,9,7)),1,0)</f>
        <v>0</v>
      </c>
      <c r="E48" s="32">
        <f>IF(AND('Plan de tareas'!$H$49&lt;=DATE(2026,9,20),'Plan de tareas'!$I$49&gt;=DATE(2026,9,14)),1,0)</f>
        <v>0</v>
      </c>
      <c r="F48" s="32">
        <f>IF(AND('Plan de tareas'!$H$49&lt;=DATE(2026,9,27),'Plan de tareas'!$I$49&gt;=DATE(2026,9,21)),1,0)</f>
        <v>0</v>
      </c>
      <c r="G48" s="32">
        <f>IF(AND('Plan de tareas'!$H$49&lt;=DATE(2026,10,4),'Plan de tareas'!$I$49&gt;=DATE(2026,9,28)),1,0)</f>
        <v>0</v>
      </c>
      <c r="H48" s="32">
        <f>IF(AND('Plan de tareas'!$H$49&lt;=DATE(2026,10,11),'Plan de tareas'!$I$49&gt;=DATE(2026,10,5)),1,0)</f>
        <v>0</v>
      </c>
      <c r="I48" s="32">
        <f>IF(AND('Plan de tareas'!$H$49&lt;=DATE(2026,10,18),'Plan de tareas'!$I$49&gt;=DATE(2026,10,12)),1,0)</f>
        <v>0</v>
      </c>
      <c r="J48" s="32">
        <f>IF(AND('Plan de tareas'!$H$49&lt;=DATE(2026,10,25),'Plan de tareas'!$I$49&gt;=DATE(2026,10,19)),1,0)</f>
        <v>1</v>
      </c>
      <c r="K48" s="32">
        <f>IF(AND('Plan de tareas'!$H$49&lt;=DATE(2026,11,1),'Plan de tareas'!$I$49&gt;=DATE(2026,10,26)),1,0)</f>
        <v>0</v>
      </c>
      <c r="L48" s="32">
        <f>IF(AND('Plan de tareas'!$H$49&lt;=DATE(2026,11,8),'Plan de tareas'!$I$49&gt;=DATE(2026,11,2)),1,0)</f>
        <v>0</v>
      </c>
      <c r="M48" s="32">
        <f>IF(AND('Plan de tareas'!$H$49&lt;=DATE(2026,11,15),'Plan de tareas'!$I$49&gt;=DATE(2026,11,9)),1,0)</f>
        <v>0</v>
      </c>
      <c r="N48" s="32">
        <f>IF(AND('Plan de tareas'!$H$49&lt;=DATE(2026,11,22),'Plan de tareas'!$I$49&gt;=DATE(2026,11,16)),1,0)</f>
        <v>0</v>
      </c>
      <c r="O48" s="32">
        <f>IF(AND('Plan de tareas'!$H$49&lt;=DATE(2026,11,29),'Plan de tareas'!$I$49&gt;=DATE(2026,11,23)),1,0)</f>
        <v>0</v>
      </c>
      <c r="P48" s="32">
        <f>IF(AND('Plan de tareas'!$H$49&lt;=DATE(2026,12,6),'Plan de tareas'!$I$49&gt;=DATE(2026,11,30)),1,0)</f>
        <v>0</v>
      </c>
    </row>
    <row r="49" spans="1:16" x14ac:dyDescent="0.25">
      <c r="A49" s="33" t="s">
        <v>144</v>
      </c>
      <c r="B49" s="34" t="s">
        <v>145</v>
      </c>
      <c r="C49" s="45" t="s">
        <v>127</v>
      </c>
      <c r="D49" s="32">
        <f>IF(AND('Plan de tareas'!$H$50&lt;=DATE(2026,9,13),'Plan de tareas'!$I$50&gt;=DATE(2026,9,7)),1,0)</f>
        <v>0</v>
      </c>
      <c r="E49" s="32">
        <f>IF(AND('Plan de tareas'!$H$50&lt;=DATE(2026,9,20),'Plan de tareas'!$I$50&gt;=DATE(2026,9,14)),1,0)</f>
        <v>0</v>
      </c>
      <c r="F49" s="32">
        <f>IF(AND('Plan de tareas'!$H$50&lt;=DATE(2026,9,27),'Plan de tareas'!$I$50&gt;=DATE(2026,9,21)),1,0)</f>
        <v>0</v>
      </c>
      <c r="G49" s="32">
        <f>IF(AND('Plan de tareas'!$H$50&lt;=DATE(2026,10,4),'Plan de tareas'!$I$50&gt;=DATE(2026,9,28)),1,0)</f>
        <v>0</v>
      </c>
      <c r="H49" s="32">
        <f>IF(AND('Plan de tareas'!$H$50&lt;=DATE(2026,10,11),'Plan de tareas'!$I$50&gt;=DATE(2026,10,5)),1,0)</f>
        <v>0</v>
      </c>
      <c r="I49" s="32">
        <f>IF(AND('Plan de tareas'!$H$50&lt;=DATE(2026,10,18),'Plan de tareas'!$I$50&gt;=DATE(2026,10,12)),1,0)</f>
        <v>0</v>
      </c>
      <c r="J49" s="32">
        <f>IF(AND('Plan de tareas'!$H$50&lt;=DATE(2026,10,25),'Plan de tareas'!$I$50&gt;=DATE(2026,10,19)),1,0)</f>
        <v>1</v>
      </c>
      <c r="K49" s="32">
        <f>IF(AND('Plan de tareas'!$H$50&lt;=DATE(2026,11,1),'Plan de tareas'!$I$50&gt;=DATE(2026,10,26)),1,0)</f>
        <v>0</v>
      </c>
      <c r="L49" s="32">
        <f>IF(AND('Plan de tareas'!$H$50&lt;=DATE(2026,11,8),'Plan de tareas'!$I$50&gt;=DATE(2026,11,2)),1,0)</f>
        <v>0</v>
      </c>
      <c r="M49" s="32">
        <f>IF(AND('Plan de tareas'!$H$50&lt;=DATE(2026,11,15),'Plan de tareas'!$I$50&gt;=DATE(2026,11,9)),1,0)</f>
        <v>0</v>
      </c>
      <c r="N49" s="32">
        <f>IF(AND('Plan de tareas'!$H$50&lt;=DATE(2026,11,22),'Plan de tareas'!$I$50&gt;=DATE(2026,11,16)),1,0)</f>
        <v>0</v>
      </c>
      <c r="O49" s="32">
        <f>IF(AND('Plan de tareas'!$H$50&lt;=DATE(2026,11,29),'Plan de tareas'!$I$50&gt;=DATE(2026,11,23)),1,0)</f>
        <v>0</v>
      </c>
      <c r="P49" s="32">
        <f>IF(AND('Plan de tareas'!$H$50&lt;=DATE(2026,12,6),'Plan de tareas'!$I$50&gt;=DATE(2026,11,30)),1,0)</f>
        <v>0</v>
      </c>
    </row>
    <row r="50" spans="1:16" x14ac:dyDescent="0.25">
      <c r="A50" s="33" t="s">
        <v>146</v>
      </c>
      <c r="B50" s="34" t="s">
        <v>147</v>
      </c>
      <c r="C50" s="45" t="s">
        <v>127</v>
      </c>
      <c r="D50" s="32">
        <f>IF(AND('Plan de tareas'!$H$51&lt;=DATE(2026,9,13),'Plan de tareas'!$I$51&gt;=DATE(2026,9,7)),1,0)</f>
        <v>0</v>
      </c>
      <c r="E50" s="32">
        <f>IF(AND('Plan de tareas'!$H$51&lt;=DATE(2026,9,20),'Plan de tareas'!$I$51&gt;=DATE(2026,9,14)),1,0)</f>
        <v>0</v>
      </c>
      <c r="F50" s="32">
        <f>IF(AND('Plan de tareas'!$H$51&lt;=DATE(2026,9,27),'Plan de tareas'!$I$51&gt;=DATE(2026,9,21)),1,0)</f>
        <v>0</v>
      </c>
      <c r="G50" s="32">
        <f>IF(AND('Plan de tareas'!$H$51&lt;=DATE(2026,10,4),'Plan de tareas'!$I$51&gt;=DATE(2026,9,28)),1,0)</f>
        <v>0</v>
      </c>
      <c r="H50" s="32">
        <f>IF(AND('Plan de tareas'!$H$51&lt;=DATE(2026,10,11),'Plan de tareas'!$I$51&gt;=DATE(2026,10,5)),1,0)</f>
        <v>0</v>
      </c>
      <c r="I50" s="32">
        <f>IF(AND('Plan de tareas'!$H$51&lt;=DATE(2026,10,18),'Plan de tareas'!$I$51&gt;=DATE(2026,10,12)),1,0)</f>
        <v>0</v>
      </c>
      <c r="J50" s="32">
        <f>IF(AND('Plan de tareas'!$H$51&lt;=DATE(2026,10,25),'Plan de tareas'!$I$51&gt;=DATE(2026,10,19)),1,0)</f>
        <v>1</v>
      </c>
      <c r="K50" s="32">
        <f>IF(AND('Plan de tareas'!$H$51&lt;=DATE(2026,11,1),'Plan de tareas'!$I$51&gt;=DATE(2026,10,26)),1,0)</f>
        <v>0</v>
      </c>
      <c r="L50" s="32">
        <f>IF(AND('Plan de tareas'!$H$51&lt;=DATE(2026,11,8),'Plan de tareas'!$I$51&gt;=DATE(2026,11,2)),1,0)</f>
        <v>0</v>
      </c>
      <c r="M50" s="32">
        <f>IF(AND('Plan de tareas'!$H$51&lt;=DATE(2026,11,15),'Plan de tareas'!$I$51&gt;=DATE(2026,11,9)),1,0)</f>
        <v>0</v>
      </c>
      <c r="N50" s="32">
        <f>IF(AND('Plan de tareas'!$H$51&lt;=DATE(2026,11,22),'Plan de tareas'!$I$51&gt;=DATE(2026,11,16)),1,0)</f>
        <v>0</v>
      </c>
      <c r="O50" s="32">
        <f>IF(AND('Plan de tareas'!$H$51&lt;=DATE(2026,11,29),'Plan de tareas'!$I$51&gt;=DATE(2026,11,23)),1,0)</f>
        <v>0</v>
      </c>
      <c r="P50" s="32">
        <f>IF(AND('Plan de tareas'!$H$51&lt;=DATE(2026,12,6),'Plan de tareas'!$I$51&gt;=DATE(2026,11,30)),1,0)</f>
        <v>0</v>
      </c>
    </row>
    <row r="51" spans="1:16" x14ac:dyDescent="0.25">
      <c r="A51" s="33" t="s">
        <v>148</v>
      </c>
      <c r="B51" s="34" t="s">
        <v>149</v>
      </c>
      <c r="C51" s="45" t="s">
        <v>127</v>
      </c>
      <c r="D51" s="32">
        <f>IF(AND('Plan de tareas'!$H$52&lt;=DATE(2026,9,13),'Plan de tareas'!$I$52&gt;=DATE(2026,9,7)),1,0)</f>
        <v>0</v>
      </c>
      <c r="E51" s="32">
        <f>IF(AND('Plan de tareas'!$H$52&lt;=DATE(2026,9,20),'Plan de tareas'!$I$52&gt;=DATE(2026,9,14)),1,0)</f>
        <v>0</v>
      </c>
      <c r="F51" s="32">
        <f>IF(AND('Plan de tareas'!$H$52&lt;=DATE(2026,9,27),'Plan de tareas'!$I$52&gt;=DATE(2026,9,21)),1,0)</f>
        <v>0</v>
      </c>
      <c r="G51" s="32">
        <f>IF(AND('Plan de tareas'!$H$52&lt;=DATE(2026,10,4),'Plan de tareas'!$I$52&gt;=DATE(2026,9,28)),1,0)</f>
        <v>0</v>
      </c>
      <c r="H51" s="32">
        <f>IF(AND('Plan de tareas'!$H$52&lt;=DATE(2026,10,11),'Plan de tareas'!$I$52&gt;=DATE(2026,10,5)),1,0)</f>
        <v>0</v>
      </c>
      <c r="I51" s="32">
        <f>IF(AND('Plan de tareas'!$H$52&lt;=DATE(2026,10,18),'Plan de tareas'!$I$52&gt;=DATE(2026,10,12)),1,0)</f>
        <v>0</v>
      </c>
      <c r="J51" s="32">
        <f>IF(AND('Plan de tareas'!$H$52&lt;=DATE(2026,10,25),'Plan de tareas'!$I$52&gt;=DATE(2026,10,19)),1,0)</f>
        <v>0</v>
      </c>
      <c r="K51" s="32">
        <f>IF(AND('Plan de tareas'!$H$52&lt;=DATE(2026,11,1),'Plan de tareas'!$I$52&gt;=DATE(2026,10,26)),1,0)</f>
        <v>1</v>
      </c>
      <c r="L51" s="32">
        <f>IF(AND('Plan de tareas'!$H$52&lt;=DATE(2026,11,8),'Plan de tareas'!$I$52&gt;=DATE(2026,11,2)),1,0)</f>
        <v>0</v>
      </c>
      <c r="M51" s="32">
        <f>IF(AND('Plan de tareas'!$H$52&lt;=DATE(2026,11,15),'Plan de tareas'!$I$52&gt;=DATE(2026,11,9)),1,0)</f>
        <v>0</v>
      </c>
      <c r="N51" s="32">
        <f>IF(AND('Plan de tareas'!$H$52&lt;=DATE(2026,11,22),'Plan de tareas'!$I$52&gt;=DATE(2026,11,16)),1,0)</f>
        <v>0</v>
      </c>
      <c r="O51" s="32">
        <f>IF(AND('Plan de tareas'!$H$52&lt;=DATE(2026,11,29),'Plan de tareas'!$I$52&gt;=DATE(2026,11,23)),1,0)</f>
        <v>0</v>
      </c>
      <c r="P51" s="32">
        <f>IF(AND('Plan de tareas'!$H$52&lt;=DATE(2026,12,6),'Plan de tareas'!$I$52&gt;=DATE(2026,11,30)),1,0)</f>
        <v>0</v>
      </c>
    </row>
    <row r="52" spans="1:16" x14ac:dyDescent="0.25">
      <c r="A52" s="33" t="s">
        <v>151</v>
      </c>
      <c r="B52" s="34" t="s">
        <v>152</v>
      </c>
      <c r="C52" s="45" t="s">
        <v>127</v>
      </c>
      <c r="D52" s="32">
        <f>IF(AND('Plan de tareas'!$H$53&lt;=DATE(2026,9,13),'Plan de tareas'!$I$53&gt;=DATE(2026,9,7)),1,0)</f>
        <v>0</v>
      </c>
      <c r="E52" s="32">
        <f>IF(AND('Plan de tareas'!$H$53&lt;=DATE(2026,9,20),'Plan de tareas'!$I$53&gt;=DATE(2026,9,14)),1,0)</f>
        <v>0</v>
      </c>
      <c r="F52" s="32">
        <f>IF(AND('Plan de tareas'!$H$53&lt;=DATE(2026,9,27),'Plan de tareas'!$I$53&gt;=DATE(2026,9,21)),1,0)</f>
        <v>0</v>
      </c>
      <c r="G52" s="32">
        <f>IF(AND('Plan de tareas'!$H$53&lt;=DATE(2026,10,4),'Plan de tareas'!$I$53&gt;=DATE(2026,9,28)),1,0)</f>
        <v>0</v>
      </c>
      <c r="H52" s="32">
        <f>IF(AND('Plan de tareas'!$H$53&lt;=DATE(2026,10,11),'Plan de tareas'!$I$53&gt;=DATE(2026,10,5)),1,0)</f>
        <v>0</v>
      </c>
      <c r="I52" s="32">
        <f>IF(AND('Plan de tareas'!$H$53&lt;=DATE(2026,10,18),'Plan de tareas'!$I$53&gt;=DATE(2026,10,12)),1,0)</f>
        <v>0</v>
      </c>
      <c r="J52" s="32">
        <f>IF(AND('Plan de tareas'!$H$53&lt;=DATE(2026,10,25),'Plan de tareas'!$I$53&gt;=DATE(2026,10,19)),1,0)</f>
        <v>0</v>
      </c>
      <c r="K52" s="32">
        <f>IF(AND('Plan de tareas'!$H$53&lt;=DATE(2026,11,1),'Plan de tareas'!$I$53&gt;=DATE(2026,10,26)),1,0)</f>
        <v>0</v>
      </c>
      <c r="L52" s="32">
        <f>IF(AND('Plan de tareas'!$H$53&lt;=DATE(2026,11,8),'Plan de tareas'!$I$53&gt;=DATE(2026,11,2)),1,0)</f>
        <v>0</v>
      </c>
      <c r="M52" s="32">
        <f>IF(AND('Plan de tareas'!$H$53&lt;=DATE(2026,11,15),'Plan de tareas'!$I$53&gt;=DATE(2026,11,9)),1,0)</f>
        <v>1</v>
      </c>
      <c r="N52" s="32">
        <f>IF(AND('Plan de tareas'!$H$53&lt;=DATE(2026,11,22),'Plan de tareas'!$I$53&gt;=DATE(2026,11,16)),1,0)</f>
        <v>0</v>
      </c>
      <c r="O52" s="32">
        <f>IF(AND('Plan de tareas'!$H$53&lt;=DATE(2026,11,29),'Plan de tareas'!$I$53&gt;=DATE(2026,11,23)),1,0)</f>
        <v>0</v>
      </c>
      <c r="P52" s="32">
        <f>IF(AND('Plan de tareas'!$H$53&lt;=DATE(2026,12,6),'Plan de tareas'!$I$53&gt;=DATE(2026,11,30)),1,0)</f>
        <v>0</v>
      </c>
    </row>
    <row r="53" spans="1:16" x14ac:dyDescent="0.25">
      <c r="A53" s="33" t="s">
        <v>156</v>
      </c>
      <c r="B53" s="34" t="s">
        <v>157</v>
      </c>
      <c r="C53" s="45" t="s">
        <v>127</v>
      </c>
      <c r="D53" s="32">
        <f>IF(AND('Plan de tareas'!$H$54&lt;=DATE(2026,9,13),'Plan de tareas'!$I$54&gt;=DATE(2026,9,7)),1,0)</f>
        <v>0</v>
      </c>
      <c r="E53" s="32">
        <f>IF(AND('Plan de tareas'!$H$54&lt;=DATE(2026,9,20),'Plan de tareas'!$I$54&gt;=DATE(2026,9,14)),1,0)</f>
        <v>0</v>
      </c>
      <c r="F53" s="32">
        <f>IF(AND('Plan de tareas'!$H$54&lt;=DATE(2026,9,27),'Plan de tareas'!$I$54&gt;=DATE(2026,9,21)),1,0)</f>
        <v>0</v>
      </c>
      <c r="G53" s="32">
        <f>IF(AND('Plan de tareas'!$H$54&lt;=DATE(2026,10,4),'Plan de tareas'!$I$54&gt;=DATE(2026,9,28)),1,0)</f>
        <v>0</v>
      </c>
      <c r="H53" s="32">
        <f>IF(AND('Plan de tareas'!$H$54&lt;=DATE(2026,10,11),'Plan de tareas'!$I$54&gt;=DATE(2026,10,5)),1,0)</f>
        <v>0</v>
      </c>
      <c r="I53" s="32">
        <f>IF(AND('Plan de tareas'!$H$54&lt;=DATE(2026,10,18),'Plan de tareas'!$I$54&gt;=DATE(2026,10,12)),1,0)</f>
        <v>0</v>
      </c>
      <c r="J53" s="32">
        <f>IF(AND('Plan de tareas'!$H$54&lt;=DATE(2026,10,25),'Plan de tareas'!$I$54&gt;=DATE(2026,10,19)),1,0)</f>
        <v>0</v>
      </c>
      <c r="K53" s="32">
        <f>IF(AND('Plan de tareas'!$H$54&lt;=DATE(2026,11,1),'Plan de tareas'!$I$54&gt;=DATE(2026,10,26)),1,0)</f>
        <v>0</v>
      </c>
      <c r="L53" s="32">
        <f>IF(AND('Plan de tareas'!$H$54&lt;=DATE(2026,11,8),'Plan de tareas'!$I$54&gt;=DATE(2026,11,2)),1,0)</f>
        <v>0</v>
      </c>
      <c r="M53" s="32">
        <f>IF(AND('Plan de tareas'!$H$54&lt;=DATE(2026,11,15),'Plan de tareas'!$I$54&gt;=DATE(2026,11,9)),1,0)</f>
        <v>1</v>
      </c>
      <c r="N53" s="32">
        <f>IF(AND('Plan de tareas'!$H$54&lt;=DATE(2026,11,22),'Plan de tareas'!$I$54&gt;=DATE(2026,11,16)),1,0)</f>
        <v>0</v>
      </c>
      <c r="O53" s="32">
        <f>IF(AND('Plan de tareas'!$H$54&lt;=DATE(2026,11,29),'Plan de tareas'!$I$54&gt;=DATE(2026,11,23)),1,0)</f>
        <v>0</v>
      </c>
      <c r="P53" s="32">
        <f>IF(AND('Plan de tareas'!$H$54&lt;=DATE(2026,12,6),'Plan de tareas'!$I$54&gt;=DATE(2026,11,30)),1,0)</f>
        <v>0</v>
      </c>
    </row>
    <row r="54" spans="1:16" x14ac:dyDescent="0.25">
      <c r="A54" s="33" t="s">
        <v>158</v>
      </c>
      <c r="B54" s="34" t="s">
        <v>159</v>
      </c>
      <c r="C54" s="45" t="s">
        <v>127</v>
      </c>
      <c r="D54" s="32">
        <f>IF(AND('Plan de tareas'!$H$55&lt;=DATE(2026,9,13),'Plan de tareas'!$I$55&gt;=DATE(2026,9,7)),1,0)</f>
        <v>0</v>
      </c>
      <c r="E54" s="32">
        <f>IF(AND('Plan de tareas'!$H$55&lt;=DATE(2026,9,20),'Plan de tareas'!$I$55&gt;=DATE(2026,9,14)),1,0)</f>
        <v>0</v>
      </c>
      <c r="F54" s="32">
        <f>IF(AND('Plan de tareas'!$H$55&lt;=DATE(2026,9,27),'Plan de tareas'!$I$55&gt;=DATE(2026,9,21)),1,0)</f>
        <v>0</v>
      </c>
      <c r="G54" s="32">
        <f>IF(AND('Plan de tareas'!$H$55&lt;=DATE(2026,10,4),'Plan de tareas'!$I$55&gt;=DATE(2026,9,28)),1,0)</f>
        <v>0</v>
      </c>
      <c r="H54" s="32">
        <f>IF(AND('Plan de tareas'!$H$55&lt;=DATE(2026,10,11),'Plan de tareas'!$I$55&gt;=DATE(2026,10,5)),1,0)</f>
        <v>0</v>
      </c>
      <c r="I54" s="32">
        <f>IF(AND('Plan de tareas'!$H$55&lt;=DATE(2026,10,18),'Plan de tareas'!$I$55&gt;=DATE(2026,10,12)),1,0)</f>
        <v>0</v>
      </c>
      <c r="J54" s="32">
        <f>IF(AND('Plan de tareas'!$H$55&lt;=DATE(2026,10,25),'Plan de tareas'!$I$55&gt;=DATE(2026,10,19)),1,0)</f>
        <v>0</v>
      </c>
      <c r="K54" s="32">
        <f>IF(AND('Plan de tareas'!$H$55&lt;=DATE(2026,11,1),'Plan de tareas'!$I$55&gt;=DATE(2026,10,26)),1,0)</f>
        <v>0</v>
      </c>
      <c r="L54" s="32">
        <f>IF(AND('Plan de tareas'!$H$55&lt;=DATE(2026,11,8),'Plan de tareas'!$I$55&gt;=DATE(2026,11,2)),1,0)</f>
        <v>0</v>
      </c>
      <c r="M54" s="32">
        <f>IF(AND('Plan de tareas'!$H$55&lt;=DATE(2026,11,15),'Plan de tareas'!$I$55&gt;=DATE(2026,11,9)),1,0)</f>
        <v>1</v>
      </c>
      <c r="N54" s="32">
        <f>IF(AND('Plan de tareas'!$H$55&lt;=DATE(2026,11,22),'Plan de tareas'!$I$55&gt;=DATE(2026,11,16)),1,0)</f>
        <v>0</v>
      </c>
      <c r="O54" s="32">
        <f>IF(AND('Plan de tareas'!$H$55&lt;=DATE(2026,11,29),'Plan de tareas'!$I$55&gt;=DATE(2026,11,23)),1,0)</f>
        <v>0</v>
      </c>
      <c r="P54" s="32">
        <f>IF(AND('Plan de tareas'!$H$55&lt;=DATE(2026,12,6),'Plan de tareas'!$I$55&gt;=DATE(2026,11,30)),1,0)</f>
        <v>0</v>
      </c>
    </row>
    <row r="55" spans="1:16" x14ac:dyDescent="0.25">
      <c r="A55" s="33" t="s">
        <v>160</v>
      </c>
      <c r="B55" s="34" t="s">
        <v>161</v>
      </c>
      <c r="C55" s="45" t="s">
        <v>127</v>
      </c>
      <c r="D55" s="32">
        <f>IF(AND('Plan de tareas'!$H$56&lt;=DATE(2026,9,13),'Plan de tareas'!$I$56&gt;=DATE(2026,9,7)),1,0)</f>
        <v>0</v>
      </c>
      <c r="E55" s="32">
        <f>IF(AND('Plan de tareas'!$H$56&lt;=DATE(2026,9,20),'Plan de tareas'!$I$56&gt;=DATE(2026,9,14)),1,0)</f>
        <v>0</v>
      </c>
      <c r="F55" s="32">
        <f>IF(AND('Plan de tareas'!$H$56&lt;=DATE(2026,9,27),'Plan de tareas'!$I$56&gt;=DATE(2026,9,21)),1,0)</f>
        <v>0</v>
      </c>
      <c r="G55" s="32">
        <f>IF(AND('Plan de tareas'!$H$56&lt;=DATE(2026,10,4),'Plan de tareas'!$I$56&gt;=DATE(2026,9,28)),1,0)</f>
        <v>0</v>
      </c>
      <c r="H55" s="32">
        <f>IF(AND('Plan de tareas'!$H$56&lt;=DATE(2026,10,11),'Plan de tareas'!$I$56&gt;=DATE(2026,10,5)),1,0)</f>
        <v>0</v>
      </c>
      <c r="I55" s="32">
        <f>IF(AND('Plan de tareas'!$H$56&lt;=DATE(2026,10,18),'Plan de tareas'!$I$56&gt;=DATE(2026,10,12)),1,0)</f>
        <v>0</v>
      </c>
      <c r="J55" s="32">
        <f>IF(AND('Plan de tareas'!$H$56&lt;=DATE(2026,10,25),'Plan de tareas'!$I$56&gt;=DATE(2026,10,19)),1,0)</f>
        <v>0</v>
      </c>
      <c r="K55" s="32">
        <f>IF(AND('Plan de tareas'!$H$56&lt;=DATE(2026,11,1),'Plan de tareas'!$I$56&gt;=DATE(2026,10,26)),1,0)</f>
        <v>0</v>
      </c>
      <c r="L55" s="32">
        <f>IF(AND('Plan de tareas'!$H$56&lt;=DATE(2026,11,8),'Plan de tareas'!$I$56&gt;=DATE(2026,11,2)),1,0)</f>
        <v>0</v>
      </c>
      <c r="M55" s="32">
        <f>IF(AND('Plan de tareas'!$H$56&lt;=DATE(2026,11,15),'Plan de tareas'!$I$56&gt;=DATE(2026,11,9)),1,0)</f>
        <v>0</v>
      </c>
      <c r="N55" s="32">
        <f>IF(AND('Plan de tareas'!$H$56&lt;=DATE(2026,11,22),'Plan de tareas'!$I$56&gt;=DATE(2026,11,16)),1,0)</f>
        <v>1</v>
      </c>
      <c r="O55" s="32">
        <f>IF(AND('Plan de tareas'!$H$56&lt;=DATE(2026,11,29),'Plan de tareas'!$I$56&gt;=DATE(2026,11,23)),1,0)</f>
        <v>0</v>
      </c>
      <c r="P55" s="32">
        <f>IF(AND('Plan de tareas'!$H$56&lt;=DATE(2026,12,6),'Plan de tareas'!$I$56&gt;=DATE(2026,11,30)),1,0)</f>
        <v>0</v>
      </c>
    </row>
    <row r="56" spans="1:16" x14ac:dyDescent="0.25">
      <c r="A56" s="33" t="s">
        <v>163</v>
      </c>
      <c r="B56" s="34" t="s">
        <v>164</v>
      </c>
      <c r="C56" s="45" t="s">
        <v>127</v>
      </c>
      <c r="D56" s="32">
        <f>IF(AND('Plan de tareas'!$H$57&lt;=DATE(2026,9,13),'Plan de tareas'!$I$57&gt;=DATE(2026,9,7)),1,0)</f>
        <v>0</v>
      </c>
      <c r="E56" s="32">
        <f>IF(AND('Plan de tareas'!$H$57&lt;=DATE(2026,9,20),'Plan de tareas'!$I$57&gt;=DATE(2026,9,14)),1,0)</f>
        <v>0</v>
      </c>
      <c r="F56" s="32">
        <f>IF(AND('Plan de tareas'!$H$57&lt;=DATE(2026,9,27),'Plan de tareas'!$I$57&gt;=DATE(2026,9,21)),1,0)</f>
        <v>0</v>
      </c>
      <c r="G56" s="32">
        <f>IF(AND('Plan de tareas'!$H$57&lt;=DATE(2026,10,4),'Plan de tareas'!$I$57&gt;=DATE(2026,9,28)),1,0)</f>
        <v>0</v>
      </c>
      <c r="H56" s="32">
        <f>IF(AND('Plan de tareas'!$H$57&lt;=DATE(2026,10,11),'Plan de tareas'!$I$57&gt;=DATE(2026,10,5)),1,0)</f>
        <v>0</v>
      </c>
      <c r="I56" s="32">
        <f>IF(AND('Plan de tareas'!$H$57&lt;=DATE(2026,10,18),'Plan de tareas'!$I$57&gt;=DATE(2026,10,12)),1,0)</f>
        <v>0</v>
      </c>
      <c r="J56" s="32">
        <f>IF(AND('Plan de tareas'!$H$57&lt;=DATE(2026,10,25),'Plan de tareas'!$I$57&gt;=DATE(2026,10,19)),1,0)</f>
        <v>0</v>
      </c>
      <c r="K56" s="32">
        <f>IF(AND('Plan de tareas'!$H$57&lt;=DATE(2026,11,1),'Plan de tareas'!$I$57&gt;=DATE(2026,10,26)),1,0)</f>
        <v>0</v>
      </c>
      <c r="L56" s="32">
        <f>IF(AND('Plan de tareas'!$H$57&lt;=DATE(2026,11,8),'Plan de tareas'!$I$57&gt;=DATE(2026,11,2)),1,0)</f>
        <v>0</v>
      </c>
      <c r="M56" s="32">
        <f>IF(AND('Plan de tareas'!$H$57&lt;=DATE(2026,11,15),'Plan de tareas'!$I$57&gt;=DATE(2026,11,9)),1,0)</f>
        <v>0</v>
      </c>
      <c r="N56" s="32">
        <f>IF(AND('Plan de tareas'!$H$57&lt;=DATE(2026,11,22),'Plan de tareas'!$I$57&gt;=DATE(2026,11,16)),1,0)</f>
        <v>1</v>
      </c>
      <c r="O56" s="32">
        <f>IF(AND('Plan de tareas'!$H$57&lt;=DATE(2026,11,29),'Plan de tareas'!$I$57&gt;=DATE(2026,11,23)),1,0)</f>
        <v>0</v>
      </c>
      <c r="P56" s="32">
        <f>IF(AND('Plan de tareas'!$H$57&lt;=DATE(2026,12,6),'Plan de tareas'!$I$57&gt;=DATE(2026,11,30)),1,0)</f>
        <v>0</v>
      </c>
    </row>
    <row r="57" spans="1:16" x14ac:dyDescent="0.25">
      <c r="A57" s="33" t="s">
        <v>165</v>
      </c>
      <c r="B57" s="34" t="s">
        <v>166</v>
      </c>
      <c r="C57" s="45" t="s">
        <v>127</v>
      </c>
      <c r="D57" s="32">
        <f>IF(AND('Plan de tareas'!$H$58&lt;=DATE(2026,9,13),'Plan de tareas'!$I$58&gt;=DATE(2026,9,7)),1,0)</f>
        <v>0</v>
      </c>
      <c r="E57" s="32">
        <f>IF(AND('Plan de tareas'!$H$58&lt;=DATE(2026,9,20),'Plan de tareas'!$I$58&gt;=DATE(2026,9,14)),1,0)</f>
        <v>0</v>
      </c>
      <c r="F57" s="32">
        <f>IF(AND('Plan de tareas'!$H$58&lt;=DATE(2026,9,27),'Plan de tareas'!$I$58&gt;=DATE(2026,9,21)),1,0)</f>
        <v>0</v>
      </c>
      <c r="G57" s="32">
        <f>IF(AND('Plan de tareas'!$H$58&lt;=DATE(2026,10,4),'Plan de tareas'!$I$58&gt;=DATE(2026,9,28)),1,0)</f>
        <v>0</v>
      </c>
      <c r="H57" s="32">
        <f>IF(AND('Plan de tareas'!$H$58&lt;=DATE(2026,10,11),'Plan de tareas'!$I$58&gt;=DATE(2026,10,5)),1,0)</f>
        <v>0</v>
      </c>
      <c r="I57" s="32">
        <f>IF(AND('Plan de tareas'!$H$58&lt;=DATE(2026,10,18),'Plan de tareas'!$I$58&gt;=DATE(2026,10,12)),1,0)</f>
        <v>0</v>
      </c>
      <c r="J57" s="32">
        <f>IF(AND('Plan de tareas'!$H$58&lt;=DATE(2026,10,25),'Plan de tareas'!$I$58&gt;=DATE(2026,10,19)),1,0)</f>
        <v>0</v>
      </c>
      <c r="K57" s="32">
        <f>IF(AND('Plan de tareas'!$H$58&lt;=DATE(2026,11,1),'Plan de tareas'!$I$58&gt;=DATE(2026,10,26)),1,0)</f>
        <v>0</v>
      </c>
      <c r="L57" s="32">
        <f>IF(AND('Plan de tareas'!$H$58&lt;=DATE(2026,11,8),'Plan de tareas'!$I$58&gt;=DATE(2026,11,2)),1,0)</f>
        <v>0</v>
      </c>
      <c r="M57" s="32">
        <f>IF(AND('Plan de tareas'!$H$58&lt;=DATE(2026,11,15),'Plan de tareas'!$I$58&gt;=DATE(2026,11,9)),1,0)</f>
        <v>0</v>
      </c>
      <c r="N57" s="32">
        <f>IF(AND('Plan de tareas'!$H$58&lt;=DATE(2026,11,22),'Plan de tareas'!$I$58&gt;=DATE(2026,11,16)),1,0)</f>
        <v>1</v>
      </c>
      <c r="O57" s="32">
        <f>IF(AND('Plan de tareas'!$H$58&lt;=DATE(2026,11,29),'Plan de tareas'!$I$58&gt;=DATE(2026,11,23)),1,0)</f>
        <v>0</v>
      </c>
      <c r="P57" s="32">
        <f>IF(AND('Plan de tareas'!$H$58&lt;=DATE(2026,12,6),'Plan de tareas'!$I$58&gt;=DATE(2026,11,30)),1,0)</f>
        <v>0</v>
      </c>
    </row>
    <row r="58" spans="1:16" x14ac:dyDescent="0.25">
      <c r="A58" s="33" t="s">
        <v>168</v>
      </c>
      <c r="B58" s="34" t="s">
        <v>169</v>
      </c>
      <c r="C58" s="45" t="s">
        <v>127</v>
      </c>
      <c r="D58" s="32">
        <f>IF(AND('Plan de tareas'!$H$59&lt;=DATE(2026,9,13),'Plan de tareas'!$I$59&gt;=DATE(2026,9,7)),1,0)</f>
        <v>0</v>
      </c>
      <c r="E58" s="32">
        <f>IF(AND('Plan de tareas'!$H$59&lt;=DATE(2026,9,20),'Plan de tareas'!$I$59&gt;=DATE(2026,9,14)),1,0)</f>
        <v>0</v>
      </c>
      <c r="F58" s="32">
        <f>IF(AND('Plan de tareas'!$H$59&lt;=DATE(2026,9,27),'Plan de tareas'!$I$59&gt;=DATE(2026,9,21)),1,0)</f>
        <v>0</v>
      </c>
      <c r="G58" s="32">
        <f>IF(AND('Plan de tareas'!$H$59&lt;=DATE(2026,10,4),'Plan de tareas'!$I$59&gt;=DATE(2026,9,28)),1,0)</f>
        <v>0</v>
      </c>
      <c r="H58" s="32">
        <f>IF(AND('Plan de tareas'!$H$59&lt;=DATE(2026,10,11),'Plan de tareas'!$I$59&gt;=DATE(2026,10,5)),1,0)</f>
        <v>0</v>
      </c>
      <c r="I58" s="32">
        <f>IF(AND('Plan de tareas'!$H$59&lt;=DATE(2026,10,18),'Plan de tareas'!$I$59&gt;=DATE(2026,10,12)),1,0)</f>
        <v>0</v>
      </c>
      <c r="J58" s="32">
        <f>IF(AND('Plan de tareas'!$H$59&lt;=DATE(2026,10,25),'Plan de tareas'!$I$59&gt;=DATE(2026,10,19)),1,0)</f>
        <v>0</v>
      </c>
      <c r="K58" s="32">
        <f>IF(AND('Plan de tareas'!$H$59&lt;=DATE(2026,11,1),'Plan de tareas'!$I$59&gt;=DATE(2026,10,26)),1,0)</f>
        <v>0</v>
      </c>
      <c r="L58" s="32">
        <f>IF(AND('Plan de tareas'!$H$59&lt;=DATE(2026,11,8),'Plan de tareas'!$I$59&gt;=DATE(2026,11,2)),1,0)</f>
        <v>0</v>
      </c>
      <c r="M58" s="32">
        <f>IF(AND('Plan de tareas'!$H$59&lt;=DATE(2026,11,15),'Plan de tareas'!$I$59&gt;=DATE(2026,11,9)),1,0)</f>
        <v>0</v>
      </c>
      <c r="N58" s="32">
        <f>IF(AND('Plan de tareas'!$H$59&lt;=DATE(2026,11,22),'Plan de tareas'!$I$59&gt;=DATE(2026,11,16)),1,0)</f>
        <v>0</v>
      </c>
      <c r="O58" s="32">
        <f>IF(AND('Plan de tareas'!$H$59&lt;=DATE(2026,11,29),'Plan de tareas'!$I$59&gt;=DATE(2026,11,23)),1,0)</f>
        <v>0</v>
      </c>
      <c r="P58" s="32">
        <f>IF(AND('Plan de tareas'!$H$59&lt;=DATE(2026,12,6),'Plan de tareas'!$I$59&gt;=DATE(2026,11,30)),1,0)</f>
        <v>1</v>
      </c>
    </row>
    <row r="59" spans="1:16" x14ac:dyDescent="0.25">
      <c r="A59" s="33" t="s">
        <v>173</v>
      </c>
      <c r="B59" s="34" t="s">
        <v>174</v>
      </c>
      <c r="C59" s="45" t="s">
        <v>127</v>
      </c>
      <c r="D59" s="32">
        <f>IF(AND('Plan de tareas'!$H$60&lt;=DATE(2026,9,13),'Plan de tareas'!$I$60&gt;=DATE(2026,9,7)),1,0)</f>
        <v>0</v>
      </c>
      <c r="E59" s="32">
        <f>IF(AND('Plan de tareas'!$H$60&lt;=DATE(2026,9,20),'Plan de tareas'!$I$60&gt;=DATE(2026,9,14)),1,0)</f>
        <v>0</v>
      </c>
      <c r="F59" s="32">
        <f>IF(AND('Plan de tareas'!$H$60&lt;=DATE(2026,9,27),'Plan de tareas'!$I$60&gt;=DATE(2026,9,21)),1,0)</f>
        <v>0</v>
      </c>
      <c r="G59" s="32">
        <f>IF(AND('Plan de tareas'!$H$60&lt;=DATE(2026,10,4),'Plan de tareas'!$I$60&gt;=DATE(2026,9,28)),1,0)</f>
        <v>0</v>
      </c>
      <c r="H59" s="32">
        <f>IF(AND('Plan de tareas'!$H$60&lt;=DATE(2026,10,11),'Plan de tareas'!$I$60&gt;=DATE(2026,10,5)),1,0)</f>
        <v>0</v>
      </c>
      <c r="I59" s="32">
        <f>IF(AND('Plan de tareas'!$H$60&lt;=DATE(2026,10,18),'Plan de tareas'!$I$60&gt;=DATE(2026,10,12)),1,0)</f>
        <v>0</v>
      </c>
      <c r="J59" s="32">
        <f>IF(AND('Plan de tareas'!$H$60&lt;=DATE(2026,10,25),'Plan de tareas'!$I$60&gt;=DATE(2026,10,19)),1,0)</f>
        <v>0</v>
      </c>
      <c r="K59" s="32">
        <f>IF(AND('Plan de tareas'!$H$60&lt;=DATE(2026,11,1),'Plan de tareas'!$I$60&gt;=DATE(2026,10,26)),1,0)</f>
        <v>0</v>
      </c>
      <c r="L59" s="32">
        <f>IF(AND('Plan de tareas'!$H$60&lt;=DATE(2026,11,8),'Plan de tareas'!$I$60&gt;=DATE(2026,11,2)),1,0)</f>
        <v>0</v>
      </c>
      <c r="M59" s="32">
        <f>IF(AND('Plan de tareas'!$H$60&lt;=DATE(2026,11,15),'Plan de tareas'!$I$60&gt;=DATE(2026,11,9)),1,0)</f>
        <v>0</v>
      </c>
      <c r="N59" s="32">
        <f>IF(AND('Plan de tareas'!$H$60&lt;=DATE(2026,11,22),'Plan de tareas'!$I$60&gt;=DATE(2026,11,16)),1,0)</f>
        <v>0</v>
      </c>
      <c r="O59" s="32">
        <f>IF(AND('Plan de tareas'!$H$60&lt;=DATE(2026,11,29),'Plan de tareas'!$I$60&gt;=DATE(2026,11,23)),1,0)</f>
        <v>0</v>
      </c>
      <c r="P59" s="32">
        <f>IF(AND('Plan de tareas'!$H$60&lt;=DATE(2026,12,6),'Plan de tareas'!$I$60&gt;=DATE(2026,11,30)),1,0)</f>
        <v>1</v>
      </c>
    </row>
    <row r="60" spans="1:16" x14ac:dyDescent="0.25">
      <c r="A60" s="33" t="s">
        <v>175</v>
      </c>
      <c r="B60" s="34" t="s">
        <v>176</v>
      </c>
      <c r="C60" s="45" t="s">
        <v>127</v>
      </c>
      <c r="D60" s="32">
        <f>IF(AND('Plan de tareas'!$H$61&lt;=DATE(2026,9,13),'Plan de tareas'!$I$61&gt;=DATE(2026,9,7)),1,0)</f>
        <v>0</v>
      </c>
      <c r="E60" s="32">
        <f>IF(AND('Plan de tareas'!$H$61&lt;=DATE(2026,9,20),'Plan de tareas'!$I$61&gt;=DATE(2026,9,14)),1,0)</f>
        <v>0</v>
      </c>
      <c r="F60" s="32">
        <f>IF(AND('Plan de tareas'!$H$61&lt;=DATE(2026,9,27),'Plan de tareas'!$I$61&gt;=DATE(2026,9,21)),1,0)</f>
        <v>0</v>
      </c>
      <c r="G60" s="32">
        <f>IF(AND('Plan de tareas'!$H$61&lt;=DATE(2026,10,4),'Plan de tareas'!$I$61&gt;=DATE(2026,9,28)),1,0)</f>
        <v>0</v>
      </c>
      <c r="H60" s="32">
        <f>IF(AND('Plan de tareas'!$H$61&lt;=DATE(2026,10,11),'Plan de tareas'!$I$61&gt;=DATE(2026,10,5)),1,0)</f>
        <v>0</v>
      </c>
      <c r="I60" s="32">
        <f>IF(AND('Plan de tareas'!$H$61&lt;=DATE(2026,10,18),'Plan de tareas'!$I$61&gt;=DATE(2026,10,12)),1,0)</f>
        <v>0</v>
      </c>
      <c r="J60" s="32">
        <f>IF(AND('Plan de tareas'!$H$61&lt;=DATE(2026,10,25),'Plan de tareas'!$I$61&gt;=DATE(2026,10,19)),1,0)</f>
        <v>0</v>
      </c>
      <c r="K60" s="32">
        <f>IF(AND('Plan de tareas'!$H$61&lt;=DATE(2026,11,1),'Plan de tareas'!$I$61&gt;=DATE(2026,10,26)),1,0)</f>
        <v>0</v>
      </c>
      <c r="L60" s="32">
        <f>IF(AND('Plan de tareas'!$H$61&lt;=DATE(2026,11,8),'Plan de tareas'!$I$61&gt;=DATE(2026,11,2)),1,0)</f>
        <v>0</v>
      </c>
      <c r="M60" s="32">
        <f>IF(AND('Plan de tareas'!$H$61&lt;=DATE(2026,11,15),'Plan de tareas'!$I$61&gt;=DATE(2026,11,9)),1,0)</f>
        <v>0</v>
      </c>
      <c r="N60" s="32">
        <f>IF(AND('Plan de tareas'!$H$61&lt;=DATE(2026,11,22),'Plan de tareas'!$I$61&gt;=DATE(2026,11,16)),1,0)</f>
        <v>0</v>
      </c>
      <c r="O60" s="32">
        <f>IF(AND('Plan de tareas'!$H$61&lt;=DATE(2026,11,29),'Plan de tareas'!$I$61&gt;=DATE(2026,11,23)),1,0)</f>
        <v>0</v>
      </c>
      <c r="P60" s="32">
        <f>IF(AND('Plan de tareas'!$H$61&lt;=DATE(2026,12,6),'Plan de tareas'!$I$61&gt;=DATE(2026,11,30)),1,0)</f>
        <v>1</v>
      </c>
    </row>
    <row r="61" spans="1:16" x14ac:dyDescent="0.25">
      <c r="A61" s="33" t="s">
        <v>177</v>
      </c>
      <c r="B61" s="34" t="s">
        <v>178</v>
      </c>
      <c r="C61" s="45" t="s">
        <v>127</v>
      </c>
      <c r="D61" s="32">
        <f>IF(AND('Plan de tareas'!$H$62&lt;=DATE(2026,9,13),'Plan de tareas'!$I$62&gt;=DATE(2026,9,7)),1,0)</f>
        <v>0</v>
      </c>
      <c r="E61" s="32">
        <f>IF(AND('Plan de tareas'!$H$62&lt;=DATE(2026,9,20),'Plan de tareas'!$I$62&gt;=DATE(2026,9,14)),1,0)</f>
        <v>0</v>
      </c>
      <c r="F61" s="32">
        <f>IF(AND('Plan de tareas'!$H$62&lt;=DATE(2026,9,27),'Plan de tareas'!$I$62&gt;=DATE(2026,9,21)),1,0)</f>
        <v>0</v>
      </c>
      <c r="G61" s="32">
        <f>IF(AND('Plan de tareas'!$H$62&lt;=DATE(2026,10,4),'Plan de tareas'!$I$62&gt;=DATE(2026,9,28)),1,0)</f>
        <v>0</v>
      </c>
      <c r="H61" s="32">
        <f>IF(AND('Plan de tareas'!$H$62&lt;=DATE(2026,10,11),'Plan de tareas'!$I$62&gt;=DATE(2026,10,5)),1,0)</f>
        <v>0</v>
      </c>
      <c r="I61" s="32">
        <f>IF(AND('Plan de tareas'!$H$62&lt;=DATE(2026,10,18),'Plan de tareas'!$I$62&gt;=DATE(2026,10,12)),1,0)</f>
        <v>0</v>
      </c>
      <c r="J61" s="32">
        <f>IF(AND('Plan de tareas'!$H$62&lt;=DATE(2026,10,25),'Plan de tareas'!$I$62&gt;=DATE(2026,10,19)),1,0)</f>
        <v>0</v>
      </c>
      <c r="K61" s="32">
        <f>IF(AND('Plan de tareas'!$H$62&lt;=DATE(2026,11,1),'Plan de tareas'!$I$62&gt;=DATE(2026,10,26)),1,0)</f>
        <v>0</v>
      </c>
      <c r="L61" s="32">
        <f>IF(AND('Plan de tareas'!$H$62&lt;=DATE(2026,11,8),'Plan de tareas'!$I$62&gt;=DATE(2026,11,2)),1,0)</f>
        <v>0</v>
      </c>
      <c r="M61" s="32">
        <f>IF(AND('Plan de tareas'!$H$62&lt;=DATE(2026,11,15),'Plan de tareas'!$I$62&gt;=DATE(2026,11,9)),1,0)</f>
        <v>0</v>
      </c>
      <c r="N61" s="32">
        <f>IF(AND('Plan de tareas'!$H$62&lt;=DATE(2026,11,22),'Plan de tareas'!$I$62&gt;=DATE(2026,11,16)),1,0)</f>
        <v>0</v>
      </c>
      <c r="O61" s="32">
        <f>IF(AND('Plan de tareas'!$H$62&lt;=DATE(2026,11,29),'Plan de tareas'!$I$62&gt;=DATE(2026,11,23)),1,0)</f>
        <v>0</v>
      </c>
      <c r="P61" s="32">
        <f>IF(AND('Plan de tareas'!$H$62&lt;=DATE(2026,12,6),'Plan de tareas'!$I$62&gt;=DATE(2026,11,30)),1,0)</f>
        <v>1</v>
      </c>
    </row>
    <row r="64" spans="1:16" x14ac:dyDescent="0.25">
      <c r="A64" s="26" t="s">
        <v>187</v>
      </c>
    </row>
    <row r="65" spans="1:6" x14ac:dyDescent="0.25">
      <c r="A65" s="46" t="s">
        <v>15</v>
      </c>
    </row>
    <row r="66" spans="1:6" x14ac:dyDescent="0.25">
      <c r="A66" s="47" t="s">
        <v>127</v>
      </c>
    </row>
    <row r="68" spans="1:6" ht="32.799999999999997" customHeight="1" x14ac:dyDescent="0.25">
      <c r="A68" s="1" t="s">
        <v>188</v>
      </c>
      <c r="B68" s="1"/>
      <c r="C68" s="1"/>
      <c r="D68" s="1"/>
      <c r="E68" s="1"/>
      <c r="F68" s="1"/>
    </row>
  </sheetData>
  <mergeCells count="1">
    <mergeCell ref="A68:F68"/>
  </mergeCells>
  <conditionalFormatting sqref="D4:P43">
    <cfRule type="expression" dxfId="1" priority="2">
      <formula>D4=1</formula>
    </cfRule>
  </conditionalFormatting>
  <conditionalFormatting sqref="D44:P61">
    <cfRule type="expression" dxfId="0" priority="42">
      <formula>D44=1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C1-Internal</oddFooter>
  </headerFooter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tareas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Manuel GUTIERREZ ALEMANY</cp:lastModifiedBy>
  <cp:revision>0</cp:revision>
  <dcterms:created xsi:type="dcterms:W3CDTF">2026-09-01T11:14:25Z</dcterms:created>
  <dcterms:modified xsi:type="dcterms:W3CDTF">2026-09-01T11:21:36Z</dcterms:modified>
  <dc:language>en-US</dc:language>
</cp:coreProperties>
</file>