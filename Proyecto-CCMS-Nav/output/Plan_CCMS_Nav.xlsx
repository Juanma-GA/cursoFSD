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gutierrez3\Downloads\"/>
    </mc:Choice>
  </mc:AlternateContent>
  <xr:revisionPtr revIDLastSave="0" documentId="13_ncr:1_{BA502C79-9B84-4D81-A737-13919BEC6E69}" xr6:coauthVersionLast="47" xr6:coauthVersionMax="47" xr10:uidLastSave="{00000000-0000-0000-0000-000000000000}"/>
  <bookViews>
    <workbookView xWindow="-109" yWindow="-109" windowWidth="26301" windowHeight="15800" tabRatio="500" xr2:uid="{00000000-000D-0000-FFFF-FFFF00000000}"/>
  </bookViews>
  <sheets>
    <sheet name="Plan de tareas" sheetId="1" r:id="rId1"/>
    <sheet name="Gant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8" i="1" l="1"/>
  <c r="B57" i="1"/>
  <c r="B59" i="1" s="1"/>
  <c r="I52" i="1"/>
  <c r="T51" i="2" s="1"/>
  <c r="I51" i="1"/>
  <c r="O50" i="2" s="1"/>
  <c r="I50" i="1"/>
  <c r="J49" i="2" s="1"/>
  <c r="I49" i="1"/>
  <c r="E48" i="2" s="1"/>
  <c r="I48" i="1"/>
  <c r="T47" i="2" s="1"/>
  <c r="I47" i="1"/>
  <c r="Q46" i="2" s="1"/>
  <c r="I46" i="1"/>
  <c r="L45" i="2" s="1"/>
  <c r="I45" i="1"/>
  <c r="G44" i="2" s="1"/>
  <c r="I44" i="1"/>
  <c r="T43" i="2" s="1"/>
  <c r="I43" i="1"/>
  <c r="S42" i="2" s="1"/>
  <c r="I42" i="1"/>
  <c r="N41" i="2" s="1"/>
  <c r="I41" i="1"/>
  <c r="I40" i="2" s="1"/>
  <c r="I40" i="1"/>
  <c r="D39" i="2" s="1"/>
  <c r="I39" i="1"/>
  <c r="T38" i="2" s="1"/>
  <c r="I38" i="1"/>
  <c r="P37" i="2" s="1"/>
  <c r="I37" i="1"/>
  <c r="K36" i="2" s="1"/>
  <c r="I36" i="1"/>
  <c r="F35" i="2" s="1"/>
  <c r="I35" i="1"/>
  <c r="T34" i="2" s="1"/>
  <c r="I34" i="1"/>
  <c r="R33" i="2" s="1"/>
  <c r="I33" i="1"/>
  <c r="M32" i="2" s="1"/>
  <c r="I32" i="1"/>
  <c r="H31" i="2" s="1"/>
  <c r="I31" i="1"/>
  <c r="T30" i="2" s="1"/>
  <c r="I30" i="1"/>
  <c r="T29" i="2" s="1"/>
  <c r="I29" i="1"/>
  <c r="O28" i="2" s="1"/>
  <c r="I28" i="1"/>
  <c r="J27" i="2" s="1"/>
  <c r="I27" i="1"/>
  <c r="E26" i="2" s="1"/>
  <c r="I26" i="1"/>
  <c r="T25" i="2" s="1"/>
  <c r="I25" i="1"/>
  <c r="Q24" i="2" s="1"/>
  <c r="I24" i="1"/>
  <c r="L23" i="2" s="1"/>
  <c r="I23" i="1"/>
  <c r="G22" i="2" s="1"/>
  <c r="I22" i="1"/>
  <c r="T21" i="2" s="1"/>
  <c r="I21" i="1"/>
  <c r="S20" i="2" s="1"/>
  <c r="I20" i="1"/>
  <c r="N19" i="2" s="1"/>
  <c r="I19" i="1"/>
  <c r="I18" i="2" s="1"/>
  <c r="I18" i="1"/>
  <c r="D17" i="2" s="1"/>
  <c r="I17" i="1"/>
  <c r="T16" i="2" s="1"/>
  <c r="I16" i="1"/>
  <c r="P15" i="2" s="1"/>
  <c r="I15" i="1"/>
  <c r="K14" i="2" s="1"/>
  <c r="I14" i="1"/>
  <c r="F13" i="2" s="1"/>
  <c r="I13" i="1"/>
  <c r="T12" i="2" s="1"/>
  <c r="I12" i="1"/>
  <c r="R11" i="2" s="1"/>
  <c r="I11" i="1"/>
  <c r="M10" i="2" s="1"/>
  <c r="I10" i="1"/>
  <c r="H9" i="2" s="1"/>
  <c r="I9" i="1"/>
  <c r="T8" i="2" s="1"/>
  <c r="I8" i="1"/>
  <c r="T7" i="2" s="1"/>
  <c r="I7" i="1"/>
  <c r="O6" i="2" s="1"/>
  <c r="I6" i="1"/>
  <c r="J5" i="2" s="1"/>
  <c r="I5" i="1"/>
  <c r="E4" i="2" s="1"/>
  <c r="F4" i="2" l="1"/>
  <c r="K5" i="2"/>
  <c r="P6" i="2"/>
  <c r="D8" i="2"/>
  <c r="I9" i="2"/>
  <c r="N10" i="2"/>
  <c r="S11" i="2"/>
  <c r="G13" i="2"/>
  <c r="L14" i="2"/>
  <c r="Q15" i="2"/>
  <c r="E17" i="2"/>
  <c r="J18" i="2"/>
  <c r="O19" i="2"/>
  <c r="T20" i="2"/>
  <c r="H22" i="2"/>
  <c r="M23" i="2"/>
  <c r="R24" i="2"/>
  <c r="F26" i="2"/>
  <c r="K27" i="2"/>
  <c r="P28" i="2"/>
  <c r="D30" i="2"/>
  <c r="I31" i="2"/>
  <c r="N32" i="2"/>
  <c r="S33" i="2"/>
  <c r="G35" i="2"/>
  <c r="L36" i="2"/>
  <c r="Q37" i="2"/>
  <c r="E39" i="2"/>
  <c r="J40" i="2"/>
  <c r="O41" i="2"/>
  <c r="T42" i="2"/>
  <c r="H44" i="2"/>
  <c r="M45" i="2"/>
  <c r="R46" i="2"/>
  <c r="F48" i="2"/>
  <c r="K49" i="2"/>
  <c r="P50" i="2"/>
  <c r="G4" i="2"/>
  <c r="L5" i="2"/>
  <c r="Q6" i="2"/>
  <c r="E8" i="2"/>
  <c r="J9" i="2"/>
  <c r="O10" i="2"/>
  <c r="T11" i="2"/>
  <c r="H13" i="2"/>
  <c r="M14" i="2"/>
  <c r="R15" i="2"/>
  <c r="F17" i="2"/>
  <c r="K18" i="2"/>
  <c r="P19" i="2"/>
  <c r="D21" i="2"/>
  <c r="I22" i="2"/>
  <c r="N23" i="2"/>
  <c r="S24" i="2"/>
  <c r="G26" i="2"/>
  <c r="L27" i="2"/>
  <c r="Q28" i="2"/>
  <c r="E30" i="2"/>
  <c r="J31" i="2"/>
  <c r="O32" i="2"/>
  <c r="T33" i="2"/>
  <c r="H35" i="2"/>
  <c r="M36" i="2"/>
  <c r="R37" i="2"/>
  <c r="F39" i="2"/>
  <c r="K40" i="2"/>
  <c r="P41" i="2"/>
  <c r="D43" i="2"/>
  <c r="I44" i="2"/>
  <c r="N45" i="2"/>
  <c r="S46" i="2"/>
  <c r="G48" i="2"/>
  <c r="L49" i="2"/>
  <c r="Q50" i="2"/>
  <c r="H4" i="2"/>
  <c r="M5" i="2"/>
  <c r="R6" i="2"/>
  <c r="F8" i="2"/>
  <c r="K9" i="2"/>
  <c r="P10" i="2"/>
  <c r="D12" i="2"/>
  <c r="I13" i="2"/>
  <c r="N14" i="2"/>
  <c r="S15" i="2"/>
  <c r="G17" i="2"/>
  <c r="L18" i="2"/>
  <c r="Q19" i="2"/>
  <c r="E21" i="2"/>
  <c r="J22" i="2"/>
  <c r="O23" i="2"/>
  <c r="T24" i="2"/>
  <c r="H26" i="2"/>
  <c r="M27" i="2"/>
  <c r="R28" i="2"/>
  <c r="F30" i="2"/>
  <c r="K31" i="2"/>
  <c r="P32" i="2"/>
  <c r="D34" i="2"/>
  <c r="I35" i="2"/>
  <c r="N36" i="2"/>
  <c r="S37" i="2"/>
  <c r="G39" i="2"/>
  <c r="L40" i="2"/>
  <c r="Q41" i="2"/>
  <c r="E43" i="2"/>
  <c r="J44" i="2"/>
  <c r="O45" i="2"/>
  <c r="T46" i="2"/>
  <c r="H48" i="2"/>
  <c r="M49" i="2"/>
  <c r="R50" i="2"/>
  <c r="I4" i="2"/>
  <c r="N5" i="2"/>
  <c r="S6" i="2"/>
  <c r="G8" i="2"/>
  <c r="L9" i="2"/>
  <c r="Q10" i="2"/>
  <c r="E12" i="2"/>
  <c r="J13" i="2"/>
  <c r="O14" i="2"/>
  <c r="T15" i="2"/>
  <c r="H17" i="2"/>
  <c r="M18" i="2"/>
  <c r="R19" i="2"/>
  <c r="F21" i="2"/>
  <c r="K22" i="2"/>
  <c r="P23" i="2"/>
  <c r="D25" i="2"/>
  <c r="I26" i="2"/>
  <c r="N27" i="2"/>
  <c r="S28" i="2"/>
  <c r="G30" i="2"/>
  <c r="L31" i="2"/>
  <c r="Q32" i="2"/>
  <c r="E34" i="2"/>
  <c r="J35" i="2"/>
  <c r="O36" i="2"/>
  <c r="T37" i="2"/>
  <c r="H39" i="2"/>
  <c r="M40" i="2"/>
  <c r="R41" i="2"/>
  <c r="F43" i="2"/>
  <c r="K44" i="2"/>
  <c r="P45" i="2"/>
  <c r="D47" i="2"/>
  <c r="I48" i="2"/>
  <c r="N49" i="2"/>
  <c r="S50" i="2"/>
  <c r="J4" i="2"/>
  <c r="O5" i="2"/>
  <c r="T6" i="2"/>
  <c r="H8" i="2"/>
  <c r="M9" i="2"/>
  <c r="R10" i="2"/>
  <c r="F12" i="2"/>
  <c r="K13" i="2"/>
  <c r="P14" i="2"/>
  <c r="D16" i="2"/>
  <c r="I17" i="2"/>
  <c r="N18" i="2"/>
  <c r="S19" i="2"/>
  <c r="G21" i="2"/>
  <c r="L22" i="2"/>
  <c r="Q23" i="2"/>
  <c r="E25" i="2"/>
  <c r="J26" i="2"/>
  <c r="O27" i="2"/>
  <c r="T28" i="2"/>
  <c r="H30" i="2"/>
  <c r="M31" i="2"/>
  <c r="R32" i="2"/>
  <c r="F34" i="2"/>
  <c r="K35" i="2"/>
  <c r="P36" i="2"/>
  <c r="D38" i="2"/>
  <c r="I39" i="2"/>
  <c r="N40" i="2"/>
  <c r="S41" i="2"/>
  <c r="G43" i="2"/>
  <c r="L44" i="2"/>
  <c r="Q45" i="2"/>
  <c r="E47" i="2"/>
  <c r="J48" i="2"/>
  <c r="O49" i="2"/>
  <c r="T50" i="2"/>
  <c r="K4" i="2"/>
  <c r="P5" i="2"/>
  <c r="D7" i="2"/>
  <c r="I8" i="2"/>
  <c r="N9" i="2"/>
  <c r="S10" i="2"/>
  <c r="G12" i="2"/>
  <c r="L13" i="2"/>
  <c r="Q14" i="2"/>
  <c r="E16" i="2"/>
  <c r="J17" i="2"/>
  <c r="O18" i="2"/>
  <c r="T19" i="2"/>
  <c r="H21" i="2"/>
  <c r="M22" i="2"/>
  <c r="R23" i="2"/>
  <c r="F25" i="2"/>
  <c r="K26" i="2"/>
  <c r="P27" i="2"/>
  <c r="D29" i="2"/>
  <c r="I30" i="2"/>
  <c r="N31" i="2"/>
  <c r="S32" i="2"/>
  <c r="G34" i="2"/>
  <c r="L35" i="2"/>
  <c r="Q36" i="2"/>
  <c r="E38" i="2"/>
  <c r="J39" i="2"/>
  <c r="O40" i="2"/>
  <c r="T41" i="2"/>
  <c r="H43" i="2"/>
  <c r="M44" i="2"/>
  <c r="R45" i="2"/>
  <c r="F47" i="2"/>
  <c r="K48" i="2"/>
  <c r="P49" i="2"/>
  <c r="D51" i="2"/>
  <c r="L4" i="2"/>
  <c r="Q5" i="2"/>
  <c r="E7" i="2"/>
  <c r="J8" i="2"/>
  <c r="O9" i="2"/>
  <c r="T10" i="2"/>
  <c r="H12" i="2"/>
  <c r="M13" i="2"/>
  <c r="R14" i="2"/>
  <c r="F16" i="2"/>
  <c r="K17" i="2"/>
  <c r="P18" i="2"/>
  <c r="D20" i="2"/>
  <c r="I21" i="2"/>
  <c r="N22" i="2"/>
  <c r="S23" i="2"/>
  <c r="G25" i="2"/>
  <c r="L26" i="2"/>
  <c r="Q27" i="2"/>
  <c r="E29" i="2"/>
  <c r="J30" i="2"/>
  <c r="O31" i="2"/>
  <c r="T32" i="2"/>
  <c r="H34" i="2"/>
  <c r="M35" i="2"/>
  <c r="R36" i="2"/>
  <c r="F38" i="2"/>
  <c r="K39" i="2"/>
  <c r="P40" i="2"/>
  <c r="D42" i="2"/>
  <c r="I43" i="2"/>
  <c r="N44" i="2"/>
  <c r="S45" i="2"/>
  <c r="G47" i="2"/>
  <c r="L48" i="2"/>
  <c r="Q49" i="2"/>
  <c r="E51" i="2"/>
  <c r="M4" i="2"/>
  <c r="R5" i="2"/>
  <c r="F7" i="2"/>
  <c r="K8" i="2"/>
  <c r="P9" i="2"/>
  <c r="D11" i="2"/>
  <c r="I12" i="2"/>
  <c r="N13" i="2"/>
  <c r="S14" i="2"/>
  <c r="G16" i="2"/>
  <c r="L17" i="2"/>
  <c r="Q18" i="2"/>
  <c r="E20" i="2"/>
  <c r="J21" i="2"/>
  <c r="O22" i="2"/>
  <c r="T23" i="2"/>
  <c r="H25" i="2"/>
  <c r="M26" i="2"/>
  <c r="R27" i="2"/>
  <c r="F29" i="2"/>
  <c r="K30" i="2"/>
  <c r="P31" i="2"/>
  <c r="D33" i="2"/>
  <c r="I34" i="2"/>
  <c r="N35" i="2"/>
  <c r="S36" i="2"/>
  <c r="G38" i="2"/>
  <c r="L39" i="2"/>
  <c r="Q40" i="2"/>
  <c r="E42" i="2"/>
  <c r="J43" i="2"/>
  <c r="O44" i="2"/>
  <c r="T45" i="2"/>
  <c r="H47" i="2"/>
  <c r="M48" i="2"/>
  <c r="R49" i="2"/>
  <c r="F51" i="2"/>
  <c r="N4" i="2"/>
  <c r="S5" i="2"/>
  <c r="G7" i="2"/>
  <c r="L8" i="2"/>
  <c r="Q9" i="2"/>
  <c r="E11" i="2"/>
  <c r="J12" i="2"/>
  <c r="O13" i="2"/>
  <c r="T14" i="2"/>
  <c r="H16" i="2"/>
  <c r="M17" i="2"/>
  <c r="R18" i="2"/>
  <c r="F20" i="2"/>
  <c r="K21" i="2"/>
  <c r="P22" i="2"/>
  <c r="D24" i="2"/>
  <c r="I25" i="2"/>
  <c r="N26" i="2"/>
  <c r="S27" i="2"/>
  <c r="G29" i="2"/>
  <c r="L30" i="2"/>
  <c r="Q31" i="2"/>
  <c r="E33" i="2"/>
  <c r="J34" i="2"/>
  <c r="O35" i="2"/>
  <c r="T36" i="2"/>
  <c r="H38" i="2"/>
  <c r="M39" i="2"/>
  <c r="R40" i="2"/>
  <c r="F42" i="2"/>
  <c r="K43" i="2"/>
  <c r="P44" i="2"/>
  <c r="D46" i="2"/>
  <c r="I47" i="2"/>
  <c r="N48" i="2"/>
  <c r="S49" i="2"/>
  <c r="G51" i="2"/>
  <c r="O4" i="2"/>
  <c r="T5" i="2"/>
  <c r="H7" i="2"/>
  <c r="M8" i="2"/>
  <c r="R9" i="2"/>
  <c r="F11" i="2"/>
  <c r="K12" i="2"/>
  <c r="P13" i="2"/>
  <c r="D15" i="2"/>
  <c r="I16" i="2"/>
  <c r="N17" i="2"/>
  <c r="S18" i="2"/>
  <c r="G20" i="2"/>
  <c r="L21" i="2"/>
  <c r="Q22" i="2"/>
  <c r="E24" i="2"/>
  <c r="J25" i="2"/>
  <c r="O26" i="2"/>
  <c r="T27" i="2"/>
  <c r="H29" i="2"/>
  <c r="M30" i="2"/>
  <c r="R31" i="2"/>
  <c r="F33" i="2"/>
  <c r="K34" i="2"/>
  <c r="P35" i="2"/>
  <c r="D37" i="2"/>
  <c r="I38" i="2"/>
  <c r="N39" i="2"/>
  <c r="S40" i="2"/>
  <c r="G42" i="2"/>
  <c r="L43" i="2"/>
  <c r="Q44" i="2"/>
  <c r="E46" i="2"/>
  <c r="J47" i="2"/>
  <c r="O48" i="2"/>
  <c r="T49" i="2"/>
  <c r="H51" i="2"/>
  <c r="P4" i="2"/>
  <c r="D6" i="2"/>
  <c r="I7" i="2"/>
  <c r="N8" i="2"/>
  <c r="S9" i="2"/>
  <c r="G11" i="2"/>
  <c r="L12" i="2"/>
  <c r="Q13" i="2"/>
  <c r="E15" i="2"/>
  <c r="J16" i="2"/>
  <c r="O17" i="2"/>
  <c r="T18" i="2"/>
  <c r="H20" i="2"/>
  <c r="M21" i="2"/>
  <c r="R22" i="2"/>
  <c r="F24" i="2"/>
  <c r="K25" i="2"/>
  <c r="P26" i="2"/>
  <c r="D28" i="2"/>
  <c r="I29" i="2"/>
  <c r="N30" i="2"/>
  <c r="S31" i="2"/>
  <c r="G33" i="2"/>
  <c r="L34" i="2"/>
  <c r="Q35" i="2"/>
  <c r="E37" i="2"/>
  <c r="J38" i="2"/>
  <c r="O39" i="2"/>
  <c r="T40" i="2"/>
  <c r="H42" i="2"/>
  <c r="M43" i="2"/>
  <c r="R44" i="2"/>
  <c r="F46" i="2"/>
  <c r="K47" i="2"/>
  <c r="P48" i="2"/>
  <c r="D50" i="2"/>
  <c r="I51" i="2"/>
  <c r="Q4" i="2"/>
  <c r="E6" i="2"/>
  <c r="J7" i="2"/>
  <c r="O8" i="2"/>
  <c r="T9" i="2"/>
  <c r="H11" i="2"/>
  <c r="M12" i="2"/>
  <c r="R13" i="2"/>
  <c r="F15" i="2"/>
  <c r="K16" i="2"/>
  <c r="P17" i="2"/>
  <c r="D19" i="2"/>
  <c r="I20" i="2"/>
  <c r="N21" i="2"/>
  <c r="S22" i="2"/>
  <c r="G24" i="2"/>
  <c r="L25" i="2"/>
  <c r="Q26" i="2"/>
  <c r="E28" i="2"/>
  <c r="J29" i="2"/>
  <c r="O30" i="2"/>
  <c r="T31" i="2"/>
  <c r="H33" i="2"/>
  <c r="M34" i="2"/>
  <c r="R35" i="2"/>
  <c r="F37" i="2"/>
  <c r="K38" i="2"/>
  <c r="P39" i="2"/>
  <c r="D41" i="2"/>
  <c r="I42" i="2"/>
  <c r="N43" i="2"/>
  <c r="S44" i="2"/>
  <c r="G46" i="2"/>
  <c r="L47" i="2"/>
  <c r="Q48" i="2"/>
  <c r="E50" i="2"/>
  <c r="J51" i="2"/>
  <c r="R4" i="2"/>
  <c r="F6" i="2"/>
  <c r="K7" i="2"/>
  <c r="P8" i="2"/>
  <c r="D10" i="2"/>
  <c r="I11" i="2"/>
  <c r="N12" i="2"/>
  <c r="S13" i="2"/>
  <c r="G15" i="2"/>
  <c r="L16" i="2"/>
  <c r="Q17" i="2"/>
  <c r="E19" i="2"/>
  <c r="J20" i="2"/>
  <c r="O21" i="2"/>
  <c r="T22" i="2"/>
  <c r="H24" i="2"/>
  <c r="M25" i="2"/>
  <c r="R26" i="2"/>
  <c r="F28" i="2"/>
  <c r="K29" i="2"/>
  <c r="P30" i="2"/>
  <c r="D32" i="2"/>
  <c r="I33" i="2"/>
  <c r="N34" i="2"/>
  <c r="S35" i="2"/>
  <c r="G37" i="2"/>
  <c r="L38" i="2"/>
  <c r="Q39" i="2"/>
  <c r="E41" i="2"/>
  <c r="J42" i="2"/>
  <c r="O43" i="2"/>
  <c r="T44" i="2"/>
  <c r="H46" i="2"/>
  <c r="M47" i="2"/>
  <c r="R48" i="2"/>
  <c r="F50" i="2"/>
  <c r="K51" i="2"/>
  <c r="S4" i="2"/>
  <c r="G6" i="2"/>
  <c r="L7" i="2"/>
  <c r="Q8" i="2"/>
  <c r="E10" i="2"/>
  <c r="J11" i="2"/>
  <c r="O12" i="2"/>
  <c r="T13" i="2"/>
  <c r="H15" i="2"/>
  <c r="M16" i="2"/>
  <c r="R17" i="2"/>
  <c r="F19" i="2"/>
  <c r="K20" i="2"/>
  <c r="P21" i="2"/>
  <c r="D23" i="2"/>
  <c r="I24" i="2"/>
  <c r="N25" i="2"/>
  <c r="S26" i="2"/>
  <c r="G28" i="2"/>
  <c r="L29" i="2"/>
  <c r="Q30" i="2"/>
  <c r="E32" i="2"/>
  <c r="J33" i="2"/>
  <c r="O34" i="2"/>
  <c r="T35" i="2"/>
  <c r="H37" i="2"/>
  <c r="M38" i="2"/>
  <c r="R39" i="2"/>
  <c r="F41" i="2"/>
  <c r="K42" i="2"/>
  <c r="P43" i="2"/>
  <c r="D45" i="2"/>
  <c r="I46" i="2"/>
  <c r="N47" i="2"/>
  <c r="S48" i="2"/>
  <c r="G50" i="2"/>
  <c r="L51" i="2"/>
  <c r="T4" i="2"/>
  <c r="H6" i="2"/>
  <c r="M7" i="2"/>
  <c r="R8" i="2"/>
  <c r="F10" i="2"/>
  <c r="K11" i="2"/>
  <c r="P12" i="2"/>
  <c r="D14" i="2"/>
  <c r="I15" i="2"/>
  <c r="N16" i="2"/>
  <c r="S17" i="2"/>
  <c r="G19" i="2"/>
  <c r="L20" i="2"/>
  <c r="Q21" i="2"/>
  <c r="E23" i="2"/>
  <c r="J24" i="2"/>
  <c r="O25" i="2"/>
  <c r="T26" i="2"/>
  <c r="H28" i="2"/>
  <c r="M29" i="2"/>
  <c r="R30" i="2"/>
  <c r="F32" i="2"/>
  <c r="K33" i="2"/>
  <c r="P34" i="2"/>
  <c r="D36" i="2"/>
  <c r="I37" i="2"/>
  <c r="N38" i="2"/>
  <c r="S39" i="2"/>
  <c r="G41" i="2"/>
  <c r="L42" i="2"/>
  <c r="Q43" i="2"/>
  <c r="E45" i="2"/>
  <c r="J46" i="2"/>
  <c r="O47" i="2"/>
  <c r="T48" i="2"/>
  <c r="H50" i="2"/>
  <c r="M51" i="2"/>
  <c r="D5" i="2"/>
  <c r="I6" i="2"/>
  <c r="N7" i="2"/>
  <c r="S8" i="2"/>
  <c r="G10" i="2"/>
  <c r="L11" i="2"/>
  <c r="Q12" i="2"/>
  <c r="E14" i="2"/>
  <c r="J15" i="2"/>
  <c r="O16" i="2"/>
  <c r="T17" i="2"/>
  <c r="H19" i="2"/>
  <c r="M20" i="2"/>
  <c r="R21" i="2"/>
  <c r="F23" i="2"/>
  <c r="K24" i="2"/>
  <c r="P25" i="2"/>
  <c r="D27" i="2"/>
  <c r="I28" i="2"/>
  <c r="N29" i="2"/>
  <c r="S30" i="2"/>
  <c r="G32" i="2"/>
  <c r="L33" i="2"/>
  <c r="Q34" i="2"/>
  <c r="E36" i="2"/>
  <c r="J37" i="2"/>
  <c r="O38" i="2"/>
  <c r="T39" i="2"/>
  <c r="H41" i="2"/>
  <c r="M42" i="2"/>
  <c r="R43" i="2"/>
  <c r="F45" i="2"/>
  <c r="K46" i="2"/>
  <c r="P47" i="2"/>
  <c r="D49" i="2"/>
  <c r="I50" i="2"/>
  <c r="N51" i="2"/>
  <c r="E5" i="2"/>
  <c r="J6" i="2"/>
  <c r="O7" i="2"/>
  <c r="H10" i="2"/>
  <c r="M11" i="2"/>
  <c r="R12" i="2"/>
  <c r="F14" i="2"/>
  <c r="K15" i="2"/>
  <c r="P16" i="2"/>
  <c r="D18" i="2"/>
  <c r="I19" i="2"/>
  <c r="N20" i="2"/>
  <c r="S21" i="2"/>
  <c r="G23" i="2"/>
  <c r="L24" i="2"/>
  <c r="Q25" i="2"/>
  <c r="E27" i="2"/>
  <c r="J28" i="2"/>
  <c r="O29" i="2"/>
  <c r="H32" i="2"/>
  <c r="M33" i="2"/>
  <c r="R34" i="2"/>
  <c r="F36" i="2"/>
  <c r="K37" i="2"/>
  <c r="P38" i="2"/>
  <c r="D40" i="2"/>
  <c r="I41" i="2"/>
  <c r="N42" i="2"/>
  <c r="S43" i="2"/>
  <c r="G45" i="2"/>
  <c r="L46" i="2"/>
  <c r="Q47" i="2"/>
  <c r="E49" i="2"/>
  <c r="J50" i="2"/>
  <c r="O51" i="2"/>
  <c r="F5" i="2"/>
  <c r="K6" i="2"/>
  <c r="P7" i="2"/>
  <c r="D9" i="2"/>
  <c r="I10" i="2"/>
  <c r="N11" i="2"/>
  <c r="S12" i="2"/>
  <c r="G14" i="2"/>
  <c r="L15" i="2"/>
  <c r="Q16" i="2"/>
  <c r="E18" i="2"/>
  <c r="J19" i="2"/>
  <c r="O20" i="2"/>
  <c r="H23" i="2"/>
  <c r="M24" i="2"/>
  <c r="R25" i="2"/>
  <c r="F27" i="2"/>
  <c r="K28" i="2"/>
  <c r="P29" i="2"/>
  <c r="D31" i="2"/>
  <c r="I32" i="2"/>
  <c r="N33" i="2"/>
  <c r="S34" i="2"/>
  <c r="G36" i="2"/>
  <c r="L37" i="2"/>
  <c r="Q38" i="2"/>
  <c r="E40" i="2"/>
  <c r="J41" i="2"/>
  <c r="O42" i="2"/>
  <c r="H45" i="2"/>
  <c r="M46" i="2"/>
  <c r="R47" i="2"/>
  <c r="F49" i="2"/>
  <c r="K50" i="2"/>
  <c r="P51" i="2"/>
  <c r="G5" i="2"/>
  <c r="L6" i="2"/>
  <c r="Q7" i="2"/>
  <c r="E9" i="2"/>
  <c r="J10" i="2"/>
  <c r="O11" i="2"/>
  <c r="H14" i="2"/>
  <c r="M15" i="2"/>
  <c r="R16" i="2"/>
  <c r="F18" i="2"/>
  <c r="K19" i="2"/>
  <c r="P20" i="2"/>
  <c r="D22" i="2"/>
  <c r="I23" i="2"/>
  <c r="N24" i="2"/>
  <c r="S25" i="2"/>
  <c r="G27" i="2"/>
  <c r="L28" i="2"/>
  <c r="Q29" i="2"/>
  <c r="E31" i="2"/>
  <c r="J32" i="2"/>
  <c r="O33" i="2"/>
  <c r="H36" i="2"/>
  <c r="M37" i="2"/>
  <c r="R38" i="2"/>
  <c r="F40" i="2"/>
  <c r="K41" i="2"/>
  <c r="P42" i="2"/>
  <c r="D44" i="2"/>
  <c r="I45" i="2"/>
  <c r="N46" i="2"/>
  <c r="S47" i="2"/>
  <c r="G49" i="2"/>
  <c r="L50" i="2"/>
  <c r="Q51" i="2"/>
  <c r="H5" i="2"/>
  <c r="M6" i="2"/>
  <c r="R7" i="2"/>
  <c r="F9" i="2"/>
  <c r="K10" i="2"/>
  <c r="P11" i="2"/>
  <c r="D13" i="2"/>
  <c r="I14" i="2"/>
  <c r="N15" i="2"/>
  <c r="S16" i="2"/>
  <c r="G18" i="2"/>
  <c r="L19" i="2"/>
  <c r="Q20" i="2"/>
  <c r="E22" i="2"/>
  <c r="J23" i="2"/>
  <c r="O24" i="2"/>
  <c r="H27" i="2"/>
  <c r="M28" i="2"/>
  <c r="R29" i="2"/>
  <c r="F31" i="2"/>
  <c r="K32" i="2"/>
  <c r="P33" i="2"/>
  <c r="D35" i="2"/>
  <c r="I36" i="2"/>
  <c r="N37" i="2"/>
  <c r="S38" i="2"/>
  <c r="G40" i="2"/>
  <c r="L41" i="2"/>
  <c r="Q42" i="2"/>
  <c r="E44" i="2"/>
  <c r="J45" i="2"/>
  <c r="O46" i="2"/>
  <c r="H49" i="2"/>
  <c r="M50" i="2"/>
  <c r="R51" i="2"/>
  <c r="D4" i="2"/>
  <c r="I5" i="2"/>
  <c r="N6" i="2"/>
  <c r="S7" i="2"/>
  <c r="G9" i="2"/>
  <c r="L10" i="2"/>
  <c r="Q11" i="2"/>
  <c r="E13" i="2"/>
  <c r="J14" i="2"/>
  <c r="O15" i="2"/>
  <c r="H18" i="2"/>
  <c r="M19" i="2"/>
  <c r="R20" i="2"/>
  <c r="F22" i="2"/>
  <c r="K23" i="2"/>
  <c r="P24" i="2"/>
  <c r="D26" i="2"/>
  <c r="I27" i="2"/>
  <c r="N28" i="2"/>
  <c r="S29" i="2"/>
  <c r="G31" i="2"/>
  <c r="L32" i="2"/>
  <c r="Q33" i="2"/>
  <c r="E35" i="2"/>
  <c r="J36" i="2"/>
  <c r="O37" i="2"/>
  <c r="H40" i="2"/>
  <c r="M41" i="2"/>
  <c r="R42" i="2"/>
  <c r="F44" i="2"/>
  <c r="K45" i="2"/>
  <c r="P46" i="2"/>
  <c r="D48" i="2"/>
  <c r="I49" i="2"/>
  <c r="N50" i="2"/>
  <c r="S51" i="2"/>
</calcChain>
</file>

<file path=xl/sharedStrings.xml><?xml version="1.0" encoding="utf-8"?>
<sst xmlns="http://schemas.openxmlformats.org/spreadsheetml/2006/main" count="507" uniqueCount="179">
  <si>
    <t>Plan de tareas — Proyecto CCMS Nav (Navantia)</t>
  </si>
  <si>
    <t>Perfiles: Full Stack Developer (decisiones importantes + backend/infra/tests) · UX/ILS Specialist (frontend) — misma persona, dos roles separados en el plan.</t>
  </si>
  <si>
    <t>ID</t>
  </si>
  <si>
    <t>Tarea</t>
  </si>
  <si>
    <t>Bloque</t>
  </si>
  <si>
    <t>Perfil</t>
  </si>
  <si>
    <t>Duración (días hábiles)</t>
  </si>
  <si>
    <t>Depende de</t>
  </si>
  <si>
    <t>¿Paralelizable?</t>
  </si>
  <si>
    <t>Fecha inicio</t>
  </si>
  <si>
    <t>Fecha fin</t>
  </si>
  <si>
    <t>Notas / bloqueos</t>
  </si>
  <si>
    <t>A1</t>
  </si>
  <si>
    <t>Solicitar a Navantia el protocolo de su IdP (SAML/ADFS u OIDC/Azure AD)</t>
  </si>
  <si>
    <t>A - Decisiones externas</t>
  </si>
  <si>
    <t>Full Stack Developer</t>
  </si>
  <si>
    <t>—</t>
  </si>
  <si>
    <t>Sí</t>
  </si>
  <si>
    <t>Bloquea T-B8 (adaptador IdP Navantia) y la cobertura completa de tests/security/test_auth_federacion.py. No bloquea el resto del backend.</t>
  </si>
  <si>
    <t>A2</t>
  </si>
  <si>
    <t>Solicitar a seguridad/compliance ATEXIS: tier aacf (T1-T4), guardrails G1-G12 exigibles, restricciones onshore/offshore, y si el aislamiento por proyecto (decisión A) es control suficiente por sí solo</t>
  </si>
  <si>
    <t>Riesgo abierto de alta prioridad (checklist Fase 6). No bloquea el build, pero debe cerrarse antes de dar el proyecto por conforme a compliance.</t>
  </si>
  <si>
    <t>A3</t>
  </si>
  <si>
    <t>Cerrar con negocio/Navantia la lista definitiva de roles RBAC</t>
  </si>
  <si>
    <t>No bloquea el esquema (es catálogo, no constantes) ni T-B4 (que usa roles provisionales), pero sí condiciona qué datos semilla son realistas.</t>
  </si>
  <si>
    <t>A4</t>
  </si>
  <si>
    <t>Confirmar alcance del worker de publicación: ¿RenderX + Compositor S80 desde el inicio, o solo Compositor S80?</t>
  </si>
  <si>
    <t>Bloquea T-D12 (worker/). RenderX ya está activo hoy como pieza transicional; sin esta confirmación no se puede acotar el alcance del primer build.</t>
  </si>
  <si>
    <t>A5</t>
  </si>
  <si>
    <t>Decidir si se activa eXist-db en este build o se pospone</t>
  </si>
  <si>
    <t>Si la respuesta es 'sí', añade T-H1 (3 días) al plan. Si es 'no' (opción por defecto hoy), el proyecto sigue sin ese módulo, tal como está.</t>
  </si>
  <si>
    <t>B1</t>
  </si>
  <si>
    <t>docker-compose.yml real + .env dev (PostgreSQL + OpenSearch)</t>
  </si>
  <si>
    <t>B - Infraestructura y core</t>
  </si>
  <si>
    <t>No</t>
  </si>
  <si>
    <t>Sustituye los marcadores TODO/.env.example ya creados por configuración funcional real, siguiendo el patrón de Fase 2 y Fase 5 del curso.</t>
  </si>
  <si>
    <t>B2</t>
  </si>
  <si>
    <t>Aplicar el esquema de PostgreSQL (9 tablas base + proyecto + catálogo RBAC + tareas/comentarios/auditoría + 7 tablas del índice de extracción)</t>
  </si>
  <si>
    <t>Migraciones desde fase-2-bases-de-datos/2-construccion_esquema_bd.md + extensiones propias de este proyecto.</t>
  </si>
  <si>
    <t>B3</t>
  </si>
  <si>
    <t>core/config.py</t>
  </si>
  <si>
    <t>HR0/HR8 de aacf: nada hardcodeado, todo configurable vía entorno.</t>
  </si>
  <si>
    <t>B4</t>
  </si>
  <si>
    <t>Catálogo RBAC: tablas + datos semilla provisionales</t>
  </si>
  <si>
    <t>Puede arrancar con roles provisionales sin esperar a T-A3 (decisión C: 'se cerrará más adelante'). Repoblar cuando T-A3 cierre.</t>
  </si>
  <si>
    <t>B5</t>
  </si>
  <si>
    <t>core/seguridad.py — dependencia FastAPI de JWT + RBAC</t>
  </si>
  <si>
    <t>Estructuralmente transversal: ningún router debe poder saltarse esta comprobación. Incluye el ejemplo de uso pendiente de verificar (marcado en estructura_carpetas.md).</t>
  </si>
  <si>
    <t>B6</t>
  </si>
  <si>
    <t>core/proyecto_context.py — dependencia FastAPI de aislamiento multi-proyecto/cliente</t>
  </si>
  <si>
    <t>La pieza más crítica del proyecto (decisión A). Debe quedar estructuralmente imposible de saltarse, no una convención a recordar.</t>
  </si>
  <si>
    <t>B7</t>
  </si>
  <si>
    <t>auth/federacion.py + adaptador IdP ATEXIS/Keycloak</t>
  </si>
  <si>
    <t>El lado ATEXIS puede construirse ya, sin depender de Navantia.</t>
  </si>
  <si>
    <t>B8</t>
  </si>
  <si>
    <t>Adaptador IdP Navantia (SAML u OIDC, según respuesta de T-A1)</t>
  </si>
  <si>
    <t>A1, B7</t>
  </si>
  <si>
    <t>BLOQUEADO hasta que T-A1 tenga respuesta. No bloquea el resto del backend (T-C/T-D) ni el lado ATEXIS de autenticación.</t>
  </si>
  <si>
    <t>C1</t>
  </si>
  <si>
    <t>models/ — clases SQLAlchemy de todas las tablas</t>
  </si>
  <si>
    <t>C - Capa de datos</t>
  </si>
  <si>
    <t>C2</t>
  </si>
  <si>
    <t>storage/ — 13 módulos de acceso a datos</t>
  </si>
  <si>
    <t>services/ nunca importará SQLAlchemy directamente, solo llamará a storage/.</t>
  </si>
  <si>
    <t>C3</t>
  </si>
  <si>
    <t>validacion/ — DTD/XSD 1.3, Schematron, integridad referencial (keys/keyref/conref)</t>
  </si>
  <si>
    <t>Condiciona el check-in (RF-CMS-4.3): sin esto, checkout_service no puede rechazar un check-in inválido.</t>
  </si>
  <si>
    <t>D1</t>
  </si>
  <si>
    <t>proyectos_service.py + router (aplica decisión A)</t>
  </si>
  <si>
    <t>D - Servicios backend</t>
  </si>
  <si>
    <t>C2, B6</t>
  </si>
  <si>
    <t>D2</t>
  </si>
  <si>
    <t>contenido_service.py + bookmap_service.py + routers</t>
  </si>
  <si>
    <t>Cubre Navegador, Detalle de topic (lectura) y Editor de bookmap.</t>
  </si>
  <si>
    <t>D3</t>
  </si>
  <si>
    <t>checkout_service.py + router (lock, revisión, dispara validación)</t>
  </si>
  <si>
    <t>D2, C3</t>
  </si>
  <si>
    <t>D4</t>
  </si>
  <si>
    <t>versiones_service.py + router (baselines, diff)</t>
  </si>
  <si>
    <t>D5</t>
  </si>
  <si>
    <t>tareas_service.py + workflow_service.py + routers (RBAC en transiciones)</t>
  </si>
  <si>
    <t>D3, B5</t>
  </si>
  <si>
    <t>D6</t>
  </si>
  <si>
    <t>servilog_service.py + router</t>
  </si>
  <si>
    <t>D7</t>
  </si>
  <si>
    <t>indice_extraccion_service.py + router</t>
  </si>
  <si>
    <t>Genera/reconstruye el índice derivado (RT-SL-2.1 a 2.7).</t>
  </si>
  <si>
    <t>D8</t>
  </si>
  <si>
    <t>busqueda_service.py + conexión real a OpenSearch</t>
  </si>
  <si>
    <t>Indexación incremental tras cada check-in real.</t>
  </si>
  <si>
    <t>D9</t>
  </si>
  <si>
    <t>reports_service.py + router</t>
  </si>
  <si>
    <t>C3, D7</t>
  </si>
  <si>
    <t>D10</t>
  </si>
  <si>
    <t>rbac_service.py + admin_service.py + auditoria_service.py + comentarios_service.py + routers</t>
  </si>
  <si>
    <t>D11</t>
  </si>
  <si>
    <t>publisher_service.py + router</t>
  </si>
  <si>
    <t>D12</t>
  </si>
  <si>
    <t>worker/ — cola async + DITA-OT/Saxon + integración con el pipeline confirmado en T-A4</t>
  </si>
  <si>
    <t>D11, A4</t>
  </si>
  <si>
    <t>BLOQUEADO hasta que T-A4 confirme si integra RenderX+Compositor S80 o solo Compositor S80.</t>
  </si>
  <si>
    <t>H1</t>
  </si>
  <si>
    <t>[CONDICIONAL] exist_db_client.py real + integración desde validacion/ y servilog_service.py</t>
  </si>
  <si>
    <t>H - Condicional (eXist-db)</t>
  </si>
  <si>
    <t>A5, C3, D6</t>
  </si>
  <si>
    <t>Solo si T-A5 decide activar eXist-db. Valida y persiste objetos SIR (keys, outputclass, conref/conkeyref) — no sustituye el índice en PostgreSQL. Si T-A5 = 'no activar', esta tarea no se ejecuta.</t>
  </si>
  <si>
    <t>F1</t>
  </si>
  <si>
    <t>tests/unit/ — services/ y validacion/ con storage/ mockeado</t>
  </si>
  <si>
    <t>F - Tests</t>
  </si>
  <si>
    <t>D10, D12</t>
  </si>
  <si>
    <t>Lógica de negocio en aislamiento, sin BD — rápido de ejecutar.</t>
  </si>
  <si>
    <t>F2</t>
  </si>
  <si>
    <t>tests/integration/ — ciclo HTTP→router→service→storage→SQLite</t>
  </si>
  <si>
    <t>C2, C1</t>
  </si>
  <si>
    <t>Adapta el patrón monkeypatch de memory_store.SessionLocal de la Fase 5 del curso a los 13 módulos de storage/ de este proyecto.</t>
  </si>
  <si>
    <t>F3</t>
  </si>
  <si>
    <t>tests/security/ — proyecto_context, seguridad JWT, RBAC, auth_federacion</t>
  </si>
  <si>
    <t>B5, B6, B7</t>
  </si>
  <si>
    <t>La pieza más importante: test_proyecto_context.py debe cubrir un usuario autenticado y válido del proyecto A accediendo a datos del proyecto B — no solo el caso trivial de falta de autenticación.</t>
  </si>
  <si>
    <t>G1</t>
  </si>
  <si>
    <t>Workflow de GitHub Actions — tests automáticos en cada push</t>
  </si>
  <si>
    <t>G - CI/CD</t>
  </si>
  <si>
    <t>F1, F2, F3</t>
  </si>
  <si>
    <t>Mismo patrón validado en fase-5-herramientas-vibe-coder del curso.</t>
  </si>
  <si>
    <t>EDASH</t>
  </si>
  <si>
    <t>Resolver qué servicio(s) de backend alimentan Dashboard/Inicio (vacío real: ni el mockup ni la documentación lo fijan)</t>
  </si>
  <si>
    <t>E - Frontend</t>
  </si>
  <si>
    <t>Es una decisión, no construcción de UI — por eso el perfil es FSD, no UX/ILS, aunque esté dentro del bloque de frontend.</t>
  </si>
  <si>
    <t>E0</t>
  </si>
  <si>
    <t>Base compartida: components/ (Topbar, Sidebar, DataTable, StatusBadge) + services/ (capa fetch) + stores/ + hooks/ + types/</t>
  </si>
  <si>
    <t>UX/ILS Specialist</t>
  </si>
  <si>
    <t>D1, D2, B7</t>
  </si>
  <si>
    <t>services/ aquí es la capa fetch (equivalente a api.js de la Fase 3 del curso) — no confundir con backend/services/, que es lógica de negocio.</t>
  </si>
  <si>
    <t>E1</t>
  </si>
  <si>
    <t>Login.tsx</t>
  </si>
  <si>
    <t>E0, B7</t>
  </si>
  <si>
    <t>E2</t>
  </si>
  <si>
    <t>Dashboard.tsx</t>
  </si>
  <si>
    <t>E0, EDASH</t>
  </si>
  <si>
    <t>E3</t>
  </si>
  <si>
    <t>Proyectos.tsx</t>
  </si>
  <si>
    <t>E0, D1</t>
  </si>
  <si>
    <t>E4</t>
  </si>
  <si>
    <t>Navegador.tsx</t>
  </si>
  <si>
    <t>E0, D2</t>
  </si>
  <si>
    <t>E5</t>
  </si>
  <si>
    <t>TopicDetalle.tsx</t>
  </si>
  <si>
    <t>E0, D2, D3, D10</t>
  </si>
  <si>
    <t>E6</t>
  </si>
  <si>
    <t>BookmapEditor.tsx</t>
  </si>
  <si>
    <t>Constructor drag-and-drop — la página más compleja de construir.</t>
  </si>
  <si>
    <t>E7</t>
  </si>
  <si>
    <t>Versiones.tsx</t>
  </si>
  <si>
    <t>E0, D4</t>
  </si>
  <si>
    <t>E8</t>
  </si>
  <si>
    <t>GestorTareas.tsx</t>
  </si>
  <si>
    <t>E0, D5</t>
  </si>
  <si>
    <t>E9</t>
  </si>
  <si>
    <t>Publicacion.tsx</t>
  </si>
  <si>
    <t>E0, D11</t>
  </si>
  <si>
    <t>E10</t>
  </si>
  <si>
    <t>ServiLog.tsx</t>
  </si>
  <si>
    <t>E0, D6, D7</t>
  </si>
  <si>
    <t>E11</t>
  </si>
  <si>
    <t>Busqueda.tsx</t>
  </si>
  <si>
    <t>E0, D8</t>
  </si>
  <si>
    <t>E12</t>
  </si>
  <si>
    <t>Reports.tsx</t>
  </si>
  <si>
    <t>E0, D9</t>
  </si>
  <si>
    <t>E13</t>
  </si>
  <si>
    <t>Admin.tsx</t>
  </si>
  <si>
    <t>E0, D10</t>
  </si>
  <si>
    <t>Resumen de esfuerzo por perfil</t>
  </si>
  <si>
    <t>Días hábiles totales</t>
  </si>
  <si>
    <t>TOTAL</t>
  </si>
  <si>
    <t>Nota: la tarea H1 (eXist-db) es condicional a la decisión A5 y no está incluida en la fecha fin del bloque de backend/CI (G1) ni en el total de esfuerzo — si A5 confirma activar eXist-db, sumar sus 3 días al camino crítico del backend antes de F1.</t>
  </si>
  <si>
    <t>Gantt semanal — Proyecto CCMS Nav</t>
  </si>
  <si>
    <t>Leyenda</t>
  </si>
  <si>
    <t>Las columnas son semanas (lunes de cada semana). Una celda coloreada significa que la tarea está en curso esa semana. Los colores de fondo de las columnas A-C agrupan las tareas por bloque, igual que en la hoja 'Plan de tareas'.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</si>
</sst>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9"/>
      <color rgb="FF1F5F8B"/>
      <name val="Arial"/>
      <charset val="1"/>
    </font>
    <font>
      <sz val="9"/>
      <color rgb="FF000000"/>
      <name val="Arial"/>
      <charset val="1"/>
    </font>
    <font>
      <sz val="9"/>
      <color rgb="FFC0762A"/>
      <name val="Arial"/>
      <charset val="1"/>
    </font>
    <font>
      <b/>
      <sz val="11"/>
      <name val="Arial"/>
      <charset val="1"/>
    </font>
    <font>
      <i/>
      <sz val="9"/>
      <color rgb="FF9C5700"/>
      <name val="Arial"/>
      <charset val="1"/>
    </font>
    <font>
      <b/>
      <sz val="8"/>
      <color rgb="FFFFFFFF"/>
      <name val="Arial"/>
      <charset val="1"/>
    </font>
    <font>
      <sz val="9"/>
      <name val="Arial"/>
      <charset val="1"/>
    </font>
    <font>
      <sz val="8"/>
      <color rgb="FFFFFFFF"/>
      <name val="Arial"/>
      <charset val="1"/>
    </font>
    <font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2E2E2E"/>
        <bgColor rgb="FF333300"/>
      </patternFill>
    </fill>
    <fill>
      <patternFill patternType="solid">
        <fgColor rgb="FFFCE4D6"/>
        <bgColor rgb="FFFDE9D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DE9D9"/>
      </patternFill>
    </fill>
    <fill>
      <patternFill patternType="solid">
        <fgColor rgb="FFF2DCDB"/>
        <bgColor rgb="FFFCE4D6"/>
      </patternFill>
    </fill>
    <fill>
      <patternFill patternType="solid">
        <fgColor rgb="FFE4DFEC"/>
        <bgColor rgb="FFF2DCDB"/>
      </patternFill>
    </fill>
    <fill>
      <patternFill patternType="solid">
        <fgColor rgb="FFD9D2E9"/>
        <bgColor rgb="FFE4DFEC"/>
      </patternFill>
    </fill>
    <fill>
      <patternFill patternType="solid">
        <fgColor rgb="FFFDE9D9"/>
        <bgColor rgb="FFFCE4D6"/>
      </patternFill>
    </fill>
    <fill>
      <patternFill patternType="solid">
        <fgColor rgb="FF1F5F8B"/>
        <bgColor rgb="FF008080"/>
      </patternFill>
    </fill>
    <fill>
      <patternFill patternType="solid">
        <fgColor rgb="FFC0762A"/>
        <bgColor rgb="FF9C57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14" fontId="4" fillId="3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14" fontId="4" fillId="5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14" fontId="4" fillId="6" borderId="1" xfId="0" applyNumberFormat="1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14" fontId="4" fillId="7" borderId="1" xfId="0" applyNumberFormat="1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14" fontId="4" fillId="8" borderId="1" xfId="0" applyNumberFormat="1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14" fontId="4" fillId="9" borderId="1" xfId="0" applyNumberFormat="1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14" fontId="4" fillId="10" borderId="1" xfId="0" applyNumberFormat="1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center" vertical="top" wrapText="1"/>
    </xf>
    <xf numFmtId="0" fontId="5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center" vertical="top" wrapText="1"/>
    </xf>
    <xf numFmtId="14" fontId="5" fillId="10" borderId="1" xfId="0" applyNumberFormat="1" applyFont="1" applyFill="1" applyBorder="1" applyAlignment="1">
      <alignment horizontal="center" vertical="top" wrapText="1"/>
    </xf>
    <xf numFmtId="0" fontId="7" fillId="0" borderId="0" xfId="0" applyFont="1"/>
    <xf numFmtId="0" fontId="3" fillId="2" borderId="0" xfId="0" applyFont="1" applyFill="1"/>
    <xf numFmtId="164" fontId="9" fillId="2" borderId="0" xfId="0" applyNumberFormat="1" applyFont="1" applyFill="1" applyAlignment="1">
      <alignment horizontal="center" textRotation="90"/>
    </xf>
    <xf numFmtId="0" fontId="10" fillId="3" borderId="0" xfId="0" applyFont="1" applyFill="1"/>
    <xf numFmtId="0" fontId="10" fillId="3" borderId="0" xfId="0" applyFont="1" applyFill="1" applyAlignment="1">
      <alignment vertical="center"/>
    </xf>
    <xf numFmtId="0" fontId="4" fillId="3" borderId="0" xfId="0" applyFont="1" applyFill="1"/>
    <xf numFmtId="0" fontId="11" fillId="0" borderId="0" xfId="0" applyFont="1" applyAlignment="1">
      <alignment horizontal="center"/>
    </xf>
    <xf numFmtId="0" fontId="10" fillId="4" borderId="0" xfId="0" applyFont="1" applyFill="1"/>
    <xf numFmtId="0" fontId="10" fillId="4" borderId="0" xfId="0" applyFont="1" applyFill="1" applyAlignment="1">
      <alignment vertical="center"/>
    </xf>
    <xf numFmtId="0" fontId="4" fillId="4" borderId="0" xfId="0" applyFont="1" applyFill="1"/>
    <xf numFmtId="0" fontId="10" fillId="5" borderId="0" xfId="0" applyFont="1" applyFill="1"/>
    <xf numFmtId="0" fontId="10" fillId="5" borderId="0" xfId="0" applyFont="1" applyFill="1" applyAlignment="1">
      <alignment vertical="center"/>
    </xf>
    <xf numFmtId="0" fontId="4" fillId="5" borderId="0" xfId="0" applyFont="1" applyFill="1"/>
    <xf numFmtId="0" fontId="10" fillId="6" borderId="0" xfId="0" applyFont="1" applyFill="1"/>
    <xf numFmtId="0" fontId="10" fillId="6" borderId="0" xfId="0" applyFont="1" applyFill="1" applyAlignment="1">
      <alignment vertical="center"/>
    </xf>
    <xf numFmtId="0" fontId="4" fillId="6" borderId="0" xfId="0" applyFont="1" applyFill="1"/>
    <xf numFmtId="0" fontId="10" fillId="7" borderId="0" xfId="0" applyFont="1" applyFill="1"/>
    <xf numFmtId="0" fontId="10" fillId="7" borderId="0" xfId="0" applyFont="1" applyFill="1" applyAlignment="1">
      <alignment vertical="center"/>
    </xf>
    <xf numFmtId="0" fontId="4" fillId="7" borderId="0" xfId="0" applyFont="1" applyFill="1"/>
    <xf numFmtId="0" fontId="10" fillId="8" borderId="0" xfId="0" applyFont="1" applyFill="1"/>
    <xf numFmtId="0" fontId="10" fillId="8" borderId="0" xfId="0" applyFont="1" applyFill="1" applyAlignment="1">
      <alignment vertical="center"/>
    </xf>
    <xf numFmtId="0" fontId="4" fillId="8" borderId="0" xfId="0" applyFont="1" applyFill="1"/>
    <xf numFmtId="0" fontId="10" fillId="9" borderId="0" xfId="0" applyFont="1" applyFill="1"/>
    <xf numFmtId="0" fontId="10" fillId="9" borderId="0" xfId="0" applyFont="1" applyFill="1" applyAlignment="1">
      <alignment vertical="center"/>
    </xf>
    <xf numFmtId="0" fontId="4" fillId="9" borderId="0" xfId="0" applyFont="1" applyFill="1"/>
    <xf numFmtId="0" fontId="10" fillId="10" borderId="0" xfId="0" applyFont="1" applyFill="1"/>
    <xf numFmtId="0" fontId="10" fillId="10" borderId="0" xfId="0" applyFont="1" applyFill="1" applyAlignment="1">
      <alignment vertical="center"/>
    </xf>
    <xf numFmtId="0" fontId="4" fillId="10" borderId="0" xfId="0" applyFont="1" applyFill="1"/>
    <xf numFmtId="0" fontId="6" fillId="10" borderId="0" xfId="0" applyFont="1" applyFill="1"/>
    <xf numFmtId="0" fontId="12" fillId="11" borderId="0" xfId="0" applyFont="1" applyFill="1"/>
    <xf numFmtId="0" fontId="12" fillId="12" borderId="0" xfId="0" applyFont="1" applyFill="1"/>
  </cellXfs>
  <cellStyles count="1">
    <cellStyle name="Normal" xfId="0" builtinId="0"/>
  </cellStyles>
  <dxfs count="2">
    <dxf>
      <fill>
        <patternFill>
          <bgColor rgb="FFC0762A"/>
        </patternFill>
      </fill>
    </dxf>
    <dxf>
      <fill>
        <patternFill>
          <bgColor rgb="FF1F5F8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62A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1F5F8B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DE9D9"/>
      <rgbColor rgb="FF99CCFF"/>
      <rgbColor rgb="FFFCE4D6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25" defaultRowHeight="14.3" x14ac:dyDescent="0.25"/>
  <cols>
    <col min="1" max="1" width="8" customWidth="1"/>
    <col min="2" max="2" width="46" customWidth="1"/>
    <col min="3" max="3" width="24" customWidth="1"/>
    <col min="4" max="4" width="20" customWidth="1"/>
    <col min="5" max="5" width="14" customWidth="1"/>
    <col min="6" max="6" width="16" customWidth="1"/>
    <col min="7" max="9" width="13" customWidth="1"/>
    <col min="10" max="10" width="55" customWidth="1"/>
  </cols>
  <sheetData>
    <row r="1" spans="1:11" ht="18.35000000000000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27.2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1" ht="23.1" x14ac:dyDescent="0.25">
      <c r="A5" s="7" t="s">
        <v>12</v>
      </c>
      <c r="B5" s="8" t="s">
        <v>13</v>
      </c>
      <c r="C5" s="7" t="s">
        <v>14</v>
      </c>
      <c r="D5" s="7" t="s">
        <v>15</v>
      </c>
      <c r="E5" s="7">
        <v>1</v>
      </c>
      <c r="F5" s="8" t="s">
        <v>16</v>
      </c>
      <c r="G5" s="7" t="s">
        <v>17</v>
      </c>
      <c r="H5" s="9">
        <v>46272</v>
      </c>
      <c r="I5" s="9">
        <f t="shared" ref="I5:I52" si="0">WORKDAY(H5,E5-1)</f>
        <v>46272</v>
      </c>
      <c r="J5" s="8" t="s">
        <v>18</v>
      </c>
    </row>
    <row r="6" spans="1:11" ht="46.2" x14ac:dyDescent="0.25">
      <c r="A6" s="7" t="s">
        <v>19</v>
      </c>
      <c r="B6" s="8" t="s">
        <v>20</v>
      </c>
      <c r="C6" s="7" t="s">
        <v>14</v>
      </c>
      <c r="D6" s="7" t="s">
        <v>15</v>
      </c>
      <c r="E6" s="7">
        <v>1</v>
      </c>
      <c r="F6" s="8" t="s">
        <v>16</v>
      </c>
      <c r="G6" s="7" t="s">
        <v>17</v>
      </c>
      <c r="H6" s="9">
        <v>46272</v>
      </c>
      <c r="I6" s="9">
        <f t="shared" si="0"/>
        <v>46272</v>
      </c>
      <c r="J6" s="8" t="s">
        <v>21</v>
      </c>
    </row>
    <row r="7" spans="1:11" ht="23.1" x14ac:dyDescent="0.25">
      <c r="A7" s="7" t="s">
        <v>22</v>
      </c>
      <c r="B7" s="8" t="s">
        <v>23</v>
      </c>
      <c r="C7" s="7" t="s">
        <v>14</v>
      </c>
      <c r="D7" s="7" t="s">
        <v>15</v>
      </c>
      <c r="E7" s="7">
        <v>2</v>
      </c>
      <c r="F7" s="8" t="s">
        <v>16</v>
      </c>
      <c r="G7" s="7" t="s">
        <v>17</v>
      </c>
      <c r="H7" s="9">
        <v>46272</v>
      </c>
      <c r="I7" s="9">
        <f t="shared" si="0"/>
        <v>46273</v>
      </c>
      <c r="J7" s="8" t="s">
        <v>24</v>
      </c>
    </row>
    <row r="8" spans="1:11" ht="34.65" x14ac:dyDescent="0.25">
      <c r="A8" s="7" t="s">
        <v>25</v>
      </c>
      <c r="B8" s="8" t="s">
        <v>26</v>
      </c>
      <c r="C8" s="7" t="s">
        <v>14</v>
      </c>
      <c r="D8" s="7" t="s">
        <v>15</v>
      </c>
      <c r="E8" s="7">
        <v>1</v>
      </c>
      <c r="F8" s="8" t="s">
        <v>16</v>
      </c>
      <c r="G8" s="7" t="s">
        <v>17</v>
      </c>
      <c r="H8" s="9">
        <v>46272</v>
      </c>
      <c r="I8" s="9">
        <f t="shared" si="0"/>
        <v>46272</v>
      </c>
      <c r="J8" s="8" t="s">
        <v>27</v>
      </c>
    </row>
    <row r="9" spans="1:11" ht="23.1" x14ac:dyDescent="0.25">
      <c r="A9" s="7" t="s">
        <v>28</v>
      </c>
      <c r="B9" s="8" t="s">
        <v>29</v>
      </c>
      <c r="C9" s="7" t="s">
        <v>14</v>
      </c>
      <c r="D9" s="7" t="s">
        <v>15</v>
      </c>
      <c r="E9" s="7">
        <v>1</v>
      </c>
      <c r="F9" s="8" t="s">
        <v>16</v>
      </c>
      <c r="G9" s="7" t="s">
        <v>17</v>
      </c>
      <c r="H9" s="9">
        <v>46272</v>
      </c>
      <c r="I9" s="9">
        <f t="shared" si="0"/>
        <v>46272</v>
      </c>
      <c r="J9" s="8" t="s">
        <v>30</v>
      </c>
    </row>
    <row r="10" spans="1:11" ht="34.65" x14ac:dyDescent="0.25">
      <c r="A10" s="10" t="s">
        <v>31</v>
      </c>
      <c r="B10" s="11" t="s">
        <v>32</v>
      </c>
      <c r="C10" s="10" t="s">
        <v>33</v>
      </c>
      <c r="D10" s="10" t="s">
        <v>15</v>
      </c>
      <c r="E10" s="10">
        <v>1</v>
      </c>
      <c r="F10" s="11" t="s">
        <v>16</v>
      </c>
      <c r="G10" s="10" t="s">
        <v>34</v>
      </c>
      <c r="H10" s="12">
        <v>46272</v>
      </c>
      <c r="I10" s="12">
        <f t="shared" si="0"/>
        <v>46272</v>
      </c>
      <c r="J10" s="11" t="s">
        <v>35</v>
      </c>
    </row>
    <row r="11" spans="1:11" ht="34.65" x14ac:dyDescent="0.25">
      <c r="A11" s="10" t="s">
        <v>36</v>
      </c>
      <c r="B11" s="11" t="s">
        <v>37</v>
      </c>
      <c r="C11" s="10" t="s">
        <v>33</v>
      </c>
      <c r="D11" s="10" t="s">
        <v>15</v>
      </c>
      <c r="E11" s="10">
        <v>1</v>
      </c>
      <c r="F11" s="11" t="s">
        <v>31</v>
      </c>
      <c r="G11" s="10" t="s">
        <v>34</v>
      </c>
      <c r="H11" s="12">
        <v>46273</v>
      </c>
      <c r="I11" s="12">
        <f t="shared" si="0"/>
        <v>46273</v>
      </c>
      <c r="J11" s="11" t="s">
        <v>38</v>
      </c>
    </row>
    <row r="12" spans="1:11" x14ac:dyDescent="0.25">
      <c r="A12" s="10" t="s">
        <v>39</v>
      </c>
      <c r="B12" s="11" t="s">
        <v>40</v>
      </c>
      <c r="C12" s="10" t="s">
        <v>33</v>
      </c>
      <c r="D12" s="10" t="s">
        <v>15</v>
      </c>
      <c r="E12" s="10">
        <v>0.5</v>
      </c>
      <c r="F12" s="11" t="s">
        <v>31</v>
      </c>
      <c r="G12" s="10" t="s">
        <v>17</v>
      </c>
      <c r="H12" s="12">
        <v>46274</v>
      </c>
      <c r="I12" s="12">
        <f t="shared" si="0"/>
        <v>46273</v>
      </c>
      <c r="J12" s="11" t="s">
        <v>41</v>
      </c>
    </row>
    <row r="13" spans="1:11" ht="23.1" x14ac:dyDescent="0.25">
      <c r="A13" s="10" t="s">
        <v>42</v>
      </c>
      <c r="B13" s="11" t="s">
        <v>43</v>
      </c>
      <c r="C13" s="10" t="s">
        <v>33</v>
      </c>
      <c r="D13" s="10" t="s">
        <v>15</v>
      </c>
      <c r="E13" s="10">
        <v>1</v>
      </c>
      <c r="F13" s="11" t="s">
        <v>36</v>
      </c>
      <c r="G13" s="10" t="s">
        <v>34</v>
      </c>
      <c r="H13" s="12">
        <v>46275</v>
      </c>
      <c r="I13" s="12">
        <f t="shared" si="0"/>
        <v>46275</v>
      </c>
      <c r="J13" s="11" t="s">
        <v>44</v>
      </c>
    </row>
    <row r="14" spans="1:11" ht="34.65" x14ac:dyDescent="0.25">
      <c r="A14" s="10" t="s">
        <v>45</v>
      </c>
      <c r="B14" s="11" t="s">
        <v>46</v>
      </c>
      <c r="C14" s="10" t="s">
        <v>33</v>
      </c>
      <c r="D14" s="10" t="s">
        <v>15</v>
      </c>
      <c r="E14" s="10">
        <v>2</v>
      </c>
      <c r="F14" s="11" t="s">
        <v>42</v>
      </c>
      <c r="G14" s="10" t="s">
        <v>34</v>
      </c>
      <c r="H14" s="12">
        <v>46276</v>
      </c>
      <c r="I14" s="12">
        <f t="shared" si="0"/>
        <v>46279</v>
      </c>
      <c r="J14" s="11" t="s">
        <v>47</v>
      </c>
    </row>
    <row r="15" spans="1:11" ht="23.1" x14ac:dyDescent="0.25">
      <c r="A15" s="10" t="s">
        <v>48</v>
      </c>
      <c r="B15" s="11" t="s">
        <v>49</v>
      </c>
      <c r="C15" s="10" t="s">
        <v>33</v>
      </c>
      <c r="D15" s="10" t="s">
        <v>15</v>
      </c>
      <c r="E15" s="10">
        <v>1.5</v>
      </c>
      <c r="F15" s="11" t="s">
        <v>36</v>
      </c>
      <c r="G15" s="10" t="s">
        <v>17</v>
      </c>
      <c r="H15" s="12">
        <v>46280</v>
      </c>
      <c r="I15" s="12">
        <f t="shared" si="0"/>
        <v>46280</v>
      </c>
      <c r="J15" s="11" t="s">
        <v>50</v>
      </c>
    </row>
    <row r="16" spans="1:11" x14ac:dyDescent="0.25">
      <c r="A16" s="10" t="s">
        <v>51</v>
      </c>
      <c r="B16" s="11" t="s">
        <v>52</v>
      </c>
      <c r="C16" s="10" t="s">
        <v>33</v>
      </c>
      <c r="D16" s="10" t="s">
        <v>15</v>
      </c>
      <c r="E16" s="10">
        <v>2</v>
      </c>
      <c r="F16" s="11" t="s">
        <v>45</v>
      </c>
      <c r="G16" s="10" t="s">
        <v>34</v>
      </c>
      <c r="H16" s="12">
        <v>46281</v>
      </c>
      <c r="I16" s="12">
        <f t="shared" si="0"/>
        <v>46282</v>
      </c>
      <c r="J16" s="11" t="s">
        <v>53</v>
      </c>
    </row>
    <row r="17" spans="1:10" ht="23.1" x14ac:dyDescent="0.25">
      <c r="A17" s="10" t="s">
        <v>54</v>
      </c>
      <c r="B17" s="11" t="s">
        <v>55</v>
      </c>
      <c r="C17" s="10" t="s">
        <v>33</v>
      </c>
      <c r="D17" s="10" t="s">
        <v>15</v>
      </c>
      <c r="E17" s="10">
        <v>2</v>
      </c>
      <c r="F17" s="11" t="s">
        <v>56</v>
      </c>
      <c r="G17" s="10" t="s">
        <v>17</v>
      </c>
      <c r="H17" s="12">
        <v>46283</v>
      </c>
      <c r="I17" s="12">
        <f t="shared" si="0"/>
        <v>46286</v>
      </c>
      <c r="J17" s="11" t="s">
        <v>57</v>
      </c>
    </row>
    <row r="18" spans="1:10" x14ac:dyDescent="0.25">
      <c r="A18" s="13" t="s">
        <v>58</v>
      </c>
      <c r="B18" s="14" t="s">
        <v>59</v>
      </c>
      <c r="C18" s="13" t="s">
        <v>60</v>
      </c>
      <c r="D18" s="13" t="s">
        <v>15</v>
      </c>
      <c r="E18" s="13">
        <v>2</v>
      </c>
      <c r="F18" s="14" t="s">
        <v>36</v>
      </c>
      <c r="G18" s="13" t="s">
        <v>34</v>
      </c>
      <c r="H18" s="15">
        <v>46287</v>
      </c>
      <c r="I18" s="15">
        <f t="shared" si="0"/>
        <v>46288</v>
      </c>
      <c r="J18" s="14" t="s">
        <v>16</v>
      </c>
    </row>
    <row r="19" spans="1:10" ht="23.1" x14ac:dyDescent="0.25">
      <c r="A19" s="13" t="s">
        <v>61</v>
      </c>
      <c r="B19" s="14" t="s">
        <v>62</v>
      </c>
      <c r="C19" s="13" t="s">
        <v>60</v>
      </c>
      <c r="D19" s="13" t="s">
        <v>15</v>
      </c>
      <c r="E19" s="13">
        <v>4</v>
      </c>
      <c r="F19" s="14" t="s">
        <v>58</v>
      </c>
      <c r="G19" s="13" t="s">
        <v>34</v>
      </c>
      <c r="H19" s="15">
        <v>46289</v>
      </c>
      <c r="I19" s="15">
        <f t="shared" si="0"/>
        <v>46294</v>
      </c>
      <c r="J19" s="14" t="s">
        <v>63</v>
      </c>
    </row>
    <row r="20" spans="1:10" ht="23.1" x14ac:dyDescent="0.25">
      <c r="A20" s="13" t="s">
        <v>64</v>
      </c>
      <c r="B20" s="14" t="s">
        <v>65</v>
      </c>
      <c r="C20" s="13" t="s">
        <v>60</v>
      </c>
      <c r="D20" s="13" t="s">
        <v>15</v>
      </c>
      <c r="E20" s="13">
        <v>3</v>
      </c>
      <c r="F20" s="14" t="s">
        <v>61</v>
      </c>
      <c r="G20" s="13" t="s">
        <v>34</v>
      </c>
      <c r="H20" s="15">
        <v>46295</v>
      </c>
      <c r="I20" s="15">
        <f t="shared" si="0"/>
        <v>46297</v>
      </c>
      <c r="J20" s="14" t="s">
        <v>66</v>
      </c>
    </row>
    <row r="21" spans="1:10" x14ac:dyDescent="0.25">
      <c r="A21" s="16" t="s">
        <v>67</v>
      </c>
      <c r="B21" s="17" t="s">
        <v>68</v>
      </c>
      <c r="C21" s="16" t="s">
        <v>69</v>
      </c>
      <c r="D21" s="16" t="s">
        <v>15</v>
      </c>
      <c r="E21" s="16">
        <v>1.5</v>
      </c>
      <c r="F21" s="17" t="s">
        <v>70</v>
      </c>
      <c r="G21" s="16" t="s">
        <v>34</v>
      </c>
      <c r="H21" s="18">
        <v>46300</v>
      </c>
      <c r="I21" s="18">
        <f t="shared" si="0"/>
        <v>46300</v>
      </c>
      <c r="J21" s="17" t="s">
        <v>16</v>
      </c>
    </row>
    <row r="22" spans="1:10" x14ac:dyDescent="0.25">
      <c r="A22" s="16" t="s">
        <v>71</v>
      </c>
      <c r="B22" s="17" t="s">
        <v>72</v>
      </c>
      <c r="C22" s="16" t="s">
        <v>69</v>
      </c>
      <c r="D22" s="16" t="s">
        <v>15</v>
      </c>
      <c r="E22" s="16">
        <v>3</v>
      </c>
      <c r="F22" s="17" t="s">
        <v>67</v>
      </c>
      <c r="G22" s="16" t="s">
        <v>34</v>
      </c>
      <c r="H22" s="18">
        <v>46301</v>
      </c>
      <c r="I22" s="18">
        <f t="shared" si="0"/>
        <v>46303</v>
      </c>
      <c r="J22" s="17" t="s">
        <v>73</v>
      </c>
    </row>
    <row r="23" spans="1:10" ht="23.1" x14ac:dyDescent="0.25">
      <c r="A23" s="16" t="s">
        <v>74</v>
      </c>
      <c r="B23" s="17" t="s">
        <v>75</v>
      </c>
      <c r="C23" s="16" t="s">
        <v>69</v>
      </c>
      <c r="D23" s="16" t="s">
        <v>15</v>
      </c>
      <c r="E23" s="16">
        <v>2</v>
      </c>
      <c r="F23" s="17" t="s">
        <v>76</v>
      </c>
      <c r="G23" s="16" t="s">
        <v>34</v>
      </c>
      <c r="H23" s="18">
        <v>46304</v>
      </c>
      <c r="I23" s="18">
        <f t="shared" si="0"/>
        <v>46307</v>
      </c>
      <c r="J23" s="17" t="s">
        <v>16</v>
      </c>
    </row>
    <row r="24" spans="1:10" x14ac:dyDescent="0.25">
      <c r="A24" s="16" t="s">
        <v>77</v>
      </c>
      <c r="B24" s="17" t="s">
        <v>78</v>
      </c>
      <c r="C24" s="16" t="s">
        <v>69</v>
      </c>
      <c r="D24" s="16" t="s">
        <v>15</v>
      </c>
      <c r="E24" s="16">
        <v>2</v>
      </c>
      <c r="F24" s="17" t="s">
        <v>71</v>
      </c>
      <c r="G24" s="16" t="s">
        <v>17</v>
      </c>
      <c r="H24" s="18">
        <v>46308</v>
      </c>
      <c r="I24" s="18">
        <f t="shared" si="0"/>
        <v>46309</v>
      </c>
      <c r="J24" s="17" t="s">
        <v>16</v>
      </c>
    </row>
    <row r="25" spans="1:10" ht="23.1" x14ac:dyDescent="0.25">
      <c r="A25" s="16" t="s">
        <v>79</v>
      </c>
      <c r="B25" s="17" t="s">
        <v>80</v>
      </c>
      <c r="C25" s="16" t="s">
        <v>69</v>
      </c>
      <c r="D25" s="16" t="s">
        <v>15</v>
      </c>
      <c r="E25" s="16">
        <v>3</v>
      </c>
      <c r="F25" s="17" t="s">
        <v>81</v>
      </c>
      <c r="G25" s="16" t="s">
        <v>34</v>
      </c>
      <c r="H25" s="18">
        <v>46310</v>
      </c>
      <c r="I25" s="18">
        <f t="shared" si="0"/>
        <v>46314</v>
      </c>
      <c r="J25" s="17" t="s">
        <v>16</v>
      </c>
    </row>
    <row r="26" spans="1:10" x14ac:dyDescent="0.25">
      <c r="A26" s="16" t="s">
        <v>82</v>
      </c>
      <c r="B26" s="17" t="s">
        <v>83</v>
      </c>
      <c r="C26" s="16" t="s">
        <v>69</v>
      </c>
      <c r="D26" s="16" t="s">
        <v>15</v>
      </c>
      <c r="E26" s="16">
        <v>2.5</v>
      </c>
      <c r="F26" s="17" t="s">
        <v>71</v>
      </c>
      <c r="G26" s="16" t="s">
        <v>17</v>
      </c>
      <c r="H26" s="18">
        <v>46315</v>
      </c>
      <c r="I26" s="18">
        <f t="shared" si="0"/>
        <v>46316</v>
      </c>
      <c r="J26" s="17" t="s">
        <v>16</v>
      </c>
    </row>
    <row r="27" spans="1:10" x14ac:dyDescent="0.25">
      <c r="A27" s="16" t="s">
        <v>84</v>
      </c>
      <c r="B27" s="17" t="s">
        <v>85</v>
      </c>
      <c r="C27" s="16" t="s">
        <v>69</v>
      </c>
      <c r="D27" s="16" t="s">
        <v>15</v>
      </c>
      <c r="E27" s="16">
        <v>2</v>
      </c>
      <c r="F27" s="17" t="s">
        <v>82</v>
      </c>
      <c r="G27" s="16" t="s">
        <v>34</v>
      </c>
      <c r="H27" s="18">
        <v>46317</v>
      </c>
      <c r="I27" s="18">
        <f t="shared" si="0"/>
        <v>46318</v>
      </c>
      <c r="J27" s="17" t="s">
        <v>86</v>
      </c>
    </row>
    <row r="28" spans="1:10" x14ac:dyDescent="0.25">
      <c r="A28" s="16" t="s">
        <v>87</v>
      </c>
      <c r="B28" s="17" t="s">
        <v>88</v>
      </c>
      <c r="C28" s="16" t="s">
        <v>69</v>
      </c>
      <c r="D28" s="16" t="s">
        <v>15</v>
      </c>
      <c r="E28" s="16">
        <v>2</v>
      </c>
      <c r="F28" s="17" t="s">
        <v>71</v>
      </c>
      <c r="G28" s="16" t="s">
        <v>17</v>
      </c>
      <c r="H28" s="18">
        <v>46321</v>
      </c>
      <c r="I28" s="18">
        <f t="shared" si="0"/>
        <v>46322</v>
      </c>
      <c r="J28" s="17" t="s">
        <v>89</v>
      </c>
    </row>
    <row r="29" spans="1:10" x14ac:dyDescent="0.25">
      <c r="A29" s="16" t="s">
        <v>90</v>
      </c>
      <c r="B29" s="17" t="s">
        <v>91</v>
      </c>
      <c r="C29" s="16" t="s">
        <v>69</v>
      </c>
      <c r="D29" s="16" t="s">
        <v>15</v>
      </c>
      <c r="E29" s="16">
        <v>1.5</v>
      </c>
      <c r="F29" s="17" t="s">
        <v>92</v>
      </c>
      <c r="G29" s="16" t="s">
        <v>17</v>
      </c>
      <c r="H29" s="18">
        <v>46323</v>
      </c>
      <c r="I29" s="18">
        <f t="shared" si="0"/>
        <v>46323</v>
      </c>
      <c r="J29" s="17" t="s">
        <v>16</v>
      </c>
    </row>
    <row r="30" spans="1:10" ht="23.1" x14ac:dyDescent="0.25">
      <c r="A30" s="16" t="s">
        <v>93</v>
      </c>
      <c r="B30" s="17" t="s">
        <v>94</v>
      </c>
      <c r="C30" s="16" t="s">
        <v>69</v>
      </c>
      <c r="D30" s="16" t="s">
        <v>15</v>
      </c>
      <c r="E30" s="16">
        <v>3</v>
      </c>
      <c r="F30" s="17" t="s">
        <v>45</v>
      </c>
      <c r="G30" s="16" t="s">
        <v>17</v>
      </c>
      <c r="H30" s="18">
        <v>46324</v>
      </c>
      <c r="I30" s="18">
        <f t="shared" si="0"/>
        <v>46328</v>
      </c>
      <c r="J30" s="17" t="s">
        <v>16</v>
      </c>
    </row>
    <row r="31" spans="1:10" x14ac:dyDescent="0.25">
      <c r="A31" s="16" t="s">
        <v>95</v>
      </c>
      <c r="B31" s="17" t="s">
        <v>96</v>
      </c>
      <c r="C31" s="16" t="s">
        <v>69</v>
      </c>
      <c r="D31" s="16" t="s">
        <v>15</v>
      </c>
      <c r="E31" s="16">
        <v>2</v>
      </c>
      <c r="F31" s="17" t="s">
        <v>79</v>
      </c>
      <c r="G31" s="16" t="s">
        <v>34</v>
      </c>
      <c r="H31" s="18">
        <v>46329</v>
      </c>
      <c r="I31" s="18">
        <f t="shared" si="0"/>
        <v>46330</v>
      </c>
      <c r="J31" s="17" t="s">
        <v>16</v>
      </c>
    </row>
    <row r="32" spans="1:10" ht="23.1" x14ac:dyDescent="0.25">
      <c r="A32" s="16" t="s">
        <v>97</v>
      </c>
      <c r="B32" s="17" t="s">
        <v>98</v>
      </c>
      <c r="C32" s="16" t="s">
        <v>69</v>
      </c>
      <c r="D32" s="16" t="s">
        <v>15</v>
      </c>
      <c r="E32" s="16">
        <v>4</v>
      </c>
      <c r="F32" s="17" t="s">
        <v>99</v>
      </c>
      <c r="G32" s="16" t="s">
        <v>34</v>
      </c>
      <c r="H32" s="18">
        <v>46331</v>
      </c>
      <c r="I32" s="18">
        <f t="shared" si="0"/>
        <v>46336</v>
      </c>
      <c r="J32" s="17" t="s">
        <v>100</v>
      </c>
    </row>
    <row r="33" spans="1:10" ht="34.65" x14ac:dyDescent="0.25">
      <c r="A33" s="19" t="s">
        <v>101</v>
      </c>
      <c r="B33" s="20" t="s">
        <v>102</v>
      </c>
      <c r="C33" s="19" t="s">
        <v>103</v>
      </c>
      <c r="D33" s="19" t="s">
        <v>15</v>
      </c>
      <c r="E33" s="19">
        <v>3</v>
      </c>
      <c r="F33" s="20" t="s">
        <v>104</v>
      </c>
      <c r="G33" s="19" t="s">
        <v>17</v>
      </c>
      <c r="H33" s="21">
        <v>46337</v>
      </c>
      <c r="I33" s="21">
        <f t="shared" si="0"/>
        <v>46339</v>
      </c>
      <c r="J33" s="20" t="s">
        <v>105</v>
      </c>
    </row>
    <row r="34" spans="1:10" x14ac:dyDescent="0.25">
      <c r="A34" s="22" t="s">
        <v>106</v>
      </c>
      <c r="B34" s="23" t="s">
        <v>107</v>
      </c>
      <c r="C34" s="22" t="s">
        <v>108</v>
      </c>
      <c r="D34" s="22" t="s">
        <v>15</v>
      </c>
      <c r="E34" s="22">
        <v>3</v>
      </c>
      <c r="F34" s="23" t="s">
        <v>109</v>
      </c>
      <c r="G34" s="22" t="s">
        <v>34</v>
      </c>
      <c r="H34" s="24">
        <v>46342</v>
      </c>
      <c r="I34" s="24">
        <f t="shared" si="0"/>
        <v>46344</v>
      </c>
      <c r="J34" s="23" t="s">
        <v>110</v>
      </c>
    </row>
    <row r="35" spans="1:10" ht="23.1" x14ac:dyDescent="0.25">
      <c r="A35" s="22" t="s">
        <v>111</v>
      </c>
      <c r="B35" s="23" t="s">
        <v>112</v>
      </c>
      <c r="C35" s="22" t="s">
        <v>108</v>
      </c>
      <c r="D35" s="22" t="s">
        <v>15</v>
      </c>
      <c r="E35" s="22">
        <v>3</v>
      </c>
      <c r="F35" s="23" t="s">
        <v>113</v>
      </c>
      <c r="G35" s="22" t="s">
        <v>17</v>
      </c>
      <c r="H35" s="24">
        <v>46345</v>
      </c>
      <c r="I35" s="24">
        <f t="shared" si="0"/>
        <v>46349</v>
      </c>
      <c r="J35" s="23" t="s">
        <v>114</v>
      </c>
    </row>
    <row r="36" spans="1:10" ht="34.65" x14ac:dyDescent="0.25">
      <c r="A36" s="22" t="s">
        <v>115</v>
      </c>
      <c r="B36" s="23" t="s">
        <v>116</v>
      </c>
      <c r="C36" s="22" t="s">
        <v>108</v>
      </c>
      <c r="D36" s="22" t="s">
        <v>15</v>
      </c>
      <c r="E36" s="22">
        <v>2</v>
      </c>
      <c r="F36" s="23" t="s">
        <v>117</v>
      </c>
      <c r="G36" s="22" t="s">
        <v>17</v>
      </c>
      <c r="H36" s="24">
        <v>46350</v>
      </c>
      <c r="I36" s="24">
        <f t="shared" si="0"/>
        <v>46351</v>
      </c>
      <c r="J36" s="23" t="s">
        <v>118</v>
      </c>
    </row>
    <row r="37" spans="1:10" ht="23.1" x14ac:dyDescent="0.25">
      <c r="A37" s="25" t="s">
        <v>119</v>
      </c>
      <c r="B37" s="26" t="s">
        <v>120</v>
      </c>
      <c r="C37" s="25" t="s">
        <v>121</v>
      </c>
      <c r="D37" s="25" t="s">
        <v>15</v>
      </c>
      <c r="E37" s="25">
        <v>1</v>
      </c>
      <c r="F37" s="26" t="s">
        <v>122</v>
      </c>
      <c r="G37" s="25" t="s">
        <v>34</v>
      </c>
      <c r="H37" s="27">
        <v>46352</v>
      </c>
      <c r="I37" s="27">
        <f t="shared" si="0"/>
        <v>46352</v>
      </c>
      <c r="J37" s="26" t="s">
        <v>123</v>
      </c>
    </row>
    <row r="38" spans="1:10" ht="34.65" x14ac:dyDescent="0.25">
      <c r="A38" s="28" t="s">
        <v>124</v>
      </c>
      <c r="B38" s="29" t="s">
        <v>125</v>
      </c>
      <c r="C38" s="28" t="s">
        <v>126</v>
      </c>
      <c r="D38" s="28" t="s">
        <v>15</v>
      </c>
      <c r="E38" s="28">
        <v>0.5</v>
      </c>
      <c r="F38" s="29" t="s">
        <v>16</v>
      </c>
      <c r="G38" s="28" t="s">
        <v>17</v>
      </c>
      <c r="H38" s="30">
        <v>46353</v>
      </c>
      <c r="I38" s="30">
        <f t="shared" si="0"/>
        <v>46352</v>
      </c>
      <c r="J38" s="29" t="s">
        <v>127</v>
      </c>
    </row>
    <row r="39" spans="1:10" ht="34.65" x14ac:dyDescent="0.25">
      <c r="A39" s="31" t="s">
        <v>128</v>
      </c>
      <c r="B39" s="32" t="s">
        <v>129</v>
      </c>
      <c r="C39" s="31" t="s">
        <v>126</v>
      </c>
      <c r="D39" s="33" t="s">
        <v>130</v>
      </c>
      <c r="E39" s="31">
        <v>3</v>
      </c>
      <c r="F39" s="32" t="s">
        <v>131</v>
      </c>
      <c r="G39" s="31" t="s">
        <v>34</v>
      </c>
      <c r="H39" s="34">
        <v>46356</v>
      </c>
      <c r="I39" s="34">
        <f t="shared" si="0"/>
        <v>46358</v>
      </c>
      <c r="J39" s="32" t="s">
        <v>132</v>
      </c>
    </row>
    <row r="40" spans="1:10" x14ac:dyDescent="0.25">
      <c r="A40" s="31" t="s">
        <v>133</v>
      </c>
      <c r="B40" s="32" t="s">
        <v>134</v>
      </c>
      <c r="C40" s="31" t="s">
        <v>126</v>
      </c>
      <c r="D40" s="33" t="s">
        <v>130</v>
      </c>
      <c r="E40" s="31">
        <v>1</v>
      </c>
      <c r="F40" s="32" t="s">
        <v>135</v>
      </c>
      <c r="G40" s="31" t="s">
        <v>17</v>
      </c>
      <c r="H40" s="34">
        <v>46359</v>
      </c>
      <c r="I40" s="34">
        <f t="shared" si="0"/>
        <v>46359</v>
      </c>
      <c r="J40" s="32" t="s">
        <v>16</v>
      </c>
    </row>
    <row r="41" spans="1:10" x14ac:dyDescent="0.25">
      <c r="A41" s="31" t="s">
        <v>136</v>
      </c>
      <c r="B41" s="32" t="s">
        <v>137</v>
      </c>
      <c r="C41" s="31" t="s">
        <v>126</v>
      </c>
      <c r="D41" s="33" t="s">
        <v>130</v>
      </c>
      <c r="E41" s="31">
        <v>1.5</v>
      </c>
      <c r="F41" s="32" t="s">
        <v>138</v>
      </c>
      <c r="G41" s="31" t="s">
        <v>17</v>
      </c>
      <c r="H41" s="34">
        <v>46360</v>
      </c>
      <c r="I41" s="34">
        <f t="shared" si="0"/>
        <v>46360</v>
      </c>
      <c r="J41" s="32" t="s">
        <v>16</v>
      </c>
    </row>
    <row r="42" spans="1:10" x14ac:dyDescent="0.25">
      <c r="A42" s="31" t="s">
        <v>139</v>
      </c>
      <c r="B42" s="32" t="s">
        <v>140</v>
      </c>
      <c r="C42" s="31" t="s">
        <v>126</v>
      </c>
      <c r="D42" s="33" t="s">
        <v>130</v>
      </c>
      <c r="E42" s="31">
        <v>1</v>
      </c>
      <c r="F42" s="32" t="s">
        <v>141</v>
      </c>
      <c r="G42" s="31" t="s">
        <v>17</v>
      </c>
      <c r="H42" s="34">
        <v>46363</v>
      </c>
      <c r="I42" s="34">
        <f t="shared" si="0"/>
        <v>46363</v>
      </c>
      <c r="J42" s="32" t="s">
        <v>16</v>
      </c>
    </row>
    <row r="43" spans="1:10" x14ac:dyDescent="0.25">
      <c r="A43" s="31" t="s">
        <v>142</v>
      </c>
      <c r="B43" s="32" t="s">
        <v>143</v>
      </c>
      <c r="C43" s="31" t="s">
        <v>126</v>
      </c>
      <c r="D43" s="33" t="s">
        <v>130</v>
      </c>
      <c r="E43" s="31">
        <v>2</v>
      </c>
      <c r="F43" s="32" t="s">
        <v>144</v>
      </c>
      <c r="G43" s="31" t="s">
        <v>17</v>
      </c>
      <c r="H43" s="34">
        <v>46364</v>
      </c>
      <c r="I43" s="34">
        <f t="shared" si="0"/>
        <v>46365</v>
      </c>
      <c r="J43" s="32" t="s">
        <v>16</v>
      </c>
    </row>
    <row r="44" spans="1:10" x14ac:dyDescent="0.25">
      <c r="A44" s="31" t="s">
        <v>145</v>
      </c>
      <c r="B44" s="32" t="s">
        <v>146</v>
      </c>
      <c r="C44" s="31" t="s">
        <v>126</v>
      </c>
      <c r="D44" s="33" t="s">
        <v>130</v>
      </c>
      <c r="E44" s="31">
        <v>2</v>
      </c>
      <c r="F44" s="32" t="s">
        <v>147</v>
      </c>
      <c r="G44" s="31" t="s">
        <v>17</v>
      </c>
      <c r="H44" s="34">
        <v>46366</v>
      </c>
      <c r="I44" s="34">
        <f t="shared" si="0"/>
        <v>46367</v>
      </c>
      <c r="J44" s="32" t="s">
        <v>16</v>
      </c>
    </row>
    <row r="45" spans="1:10" x14ac:dyDescent="0.25">
      <c r="A45" s="31" t="s">
        <v>148</v>
      </c>
      <c r="B45" s="32" t="s">
        <v>149</v>
      </c>
      <c r="C45" s="31" t="s">
        <v>126</v>
      </c>
      <c r="D45" s="33" t="s">
        <v>130</v>
      </c>
      <c r="E45" s="31">
        <v>2</v>
      </c>
      <c r="F45" s="32" t="s">
        <v>144</v>
      </c>
      <c r="G45" s="31" t="s">
        <v>17</v>
      </c>
      <c r="H45" s="34">
        <v>46370</v>
      </c>
      <c r="I45" s="34">
        <f t="shared" si="0"/>
        <v>46371</v>
      </c>
      <c r="J45" s="32" t="s">
        <v>150</v>
      </c>
    </row>
    <row r="46" spans="1:10" x14ac:dyDescent="0.25">
      <c r="A46" s="31" t="s">
        <v>151</v>
      </c>
      <c r="B46" s="32" t="s">
        <v>152</v>
      </c>
      <c r="C46" s="31" t="s">
        <v>126</v>
      </c>
      <c r="D46" s="33" t="s">
        <v>130</v>
      </c>
      <c r="E46" s="31">
        <v>1.5</v>
      </c>
      <c r="F46" s="32" t="s">
        <v>153</v>
      </c>
      <c r="G46" s="31" t="s">
        <v>17</v>
      </c>
      <c r="H46" s="34">
        <v>46372</v>
      </c>
      <c r="I46" s="34">
        <f t="shared" si="0"/>
        <v>46372</v>
      </c>
      <c r="J46" s="32" t="s">
        <v>16</v>
      </c>
    </row>
    <row r="47" spans="1:10" x14ac:dyDescent="0.25">
      <c r="A47" s="31" t="s">
        <v>154</v>
      </c>
      <c r="B47" s="32" t="s">
        <v>155</v>
      </c>
      <c r="C47" s="31" t="s">
        <v>126</v>
      </c>
      <c r="D47" s="33" t="s">
        <v>130</v>
      </c>
      <c r="E47" s="31">
        <v>2</v>
      </c>
      <c r="F47" s="32" t="s">
        <v>156</v>
      </c>
      <c r="G47" s="31" t="s">
        <v>17</v>
      </c>
      <c r="H47" s="34">
        <v>46373</v>
      </c>
      <c r="I47" s="34">
        <f t="shared" si="0"/>
        <v>46374</v>
      </c>
      <c r="J47" s="32" t="s">
        <v>16</v>
      </c>
    </row>
    <row r="48" spans="1:10" x14ac:dyDescent="0.25">
      <c r="A48" s="31" t="s">
        <v>157</v>
      </c>
      <c r="B48" s="32" t="s">
        <v>158</v>
      </c>
      <c r="C48" s="31" t="s">
        <v>126</v>
      </c>
      <c r="D48" s="33" t="s">
        <v>130</v>
      </c>
      <c r="E48" s="31">
        <v>1.5</v>
      </c>
      <c r="F48" s="32" t="s">
        <v>159</v>
      </c>
      <c r="G48" s="31" t="s">
        <v>17</v>
      </c>
      <c r="H48" s="34">
        <v>46377</v>
      </c>
      <c r="I48" s="34">
        <f t="shared" si="0"/>
        <v>46377</v>
      </c>
      <c r="J48" s="32" t="s">
        <v>16</v>
      </c>
    </row>
    <row r="49" spans="1:10" x14ac:dyDescent="0.25">
      <c r="A49" s="31" t="s">
        <v>160</v>
      </c>
      <c r="B49" s="32" t="s">
        <v>161</v>
      </c>
      <c r="C49" s="31" t="s">
        <v>126</v>
      </c>
      <c r="D49" s="33" t="s">
        <v>130</v>
      </c>
      <c r="E49" s="31">
        <v>2</v>
      </c>
      <c r="F49" s="32" t="s">
        <v>162</v>
      </c>
      <c r="G49" s="31" t="s">
        <v>17</v>
      </c>
      <c r="H49" s="34">
        <v>46378</v>
      </c>
      <c r="I49" s="34">
        <f t="shared" si="0"/>
        <v>46379</v>
      </c>
      <c r="J49" s="32" t="s">
        <v>16</v>
      </c>
    </row>
    <row r="50" spans="1:10" x14ac:dyDescent="0.25">
      <c r="A50" s="31" t="s">
        <v>163</v>
      </c>
      <c r="B50" s="32" t="s">
        <v>164</v>
      </c>
      <c r="C50" s="31" t="s">
        <v>126</v>
      </c>
      <c r="D50" s="33" t="s">
        <v>130</v>
      </c>
      <c r="E50" s="31">
        <v>1.5</v>
      </c>
      <c r="F50" s="32" t="s">
        <v>165</v>
      </c>
      <c r="G50" s="31" t="s">
        <v>17</v>
      </c>
      <c r="H50" s="34">
        <v>46380</v>
      </c>
      <c r="I50" s="34">
        <f t="shared" si="0"/>
        <v>46380</v>
      </c>
      <c r="J50" s="32" t="s">
        <v>16</v>
      </c>
    </row>
    <row r="51" spans="1:10" x14ac:dyDescent="0.25">
      <c r="A51" s="31" t="s">
        <v>166</v>
      </c>
      <c r="B51" s="32" t="s">
        <v>167</v>
      </c>
      <c r="C51" s="31" t="s">
        <v>126</v>
      </c>
      <c r="D51" s="33" t="s">
        <v>130</v>
      </c>
      <c r="E51" s="31">
        <v>1</v>
      </c>
      <c r="F51" s="32" t="s">
        <v>168</v>
      </c>
      <c r="G51" s="31" t="s">
        <v>17</v>
      </c>
      <c r="H51" s="34">
        <v>46381</v>
      </c>
      <c r="I51" s="34">
        <f t="shared" si="0"/>
        <v>46381</v>
      </c>
      <c r="J51" s="32" t="s">
        <v>16</v>
      </c>
    </row>
    <row r="52" spans="1:10" x14ac:dyDescent="0.25">
      <c r="A52" s="31" t="s">
        <v>169</v>
      </c>
      <c r="B52" s="32" t="s">
        <v>170</v>
      </c>
      <c r="C52" s="31" t="s">
        <v>126</v>
      </c>
      <c r="D52" s="33" t="s">
        <v>130</v>
      </c>
      <c r="E52" s="31">
        <v>2</v>
      </c>
      <c r="F52" s="32" t="s">
        <v>171</v>
      </c>
      <c r="G52" s="31" t="s">
        <v>17</v>
      </c>
      <c r="H52" s="34">
        <v>46384</v>
      </c>
      <c r="I52" s="34">
        <f t="shared" si="0"/>
        <v>46385</v>
      </c>
      <c r="J52" s="32" t="s">
        <v>16</v>
      </c>
    </row>
    <row r="55" spans="1:10" x14ac:dyDescent="0.25">
      <c r="A55" s="35" t="s">
        <v>172</v>
      </c>
    </row>
    <row r="56" spans="1:10" x14ac:dyDescent="0.25">
      <c r="A56" s="35" t="s">
        <v>5</v>
      </c>
      <c r="B56" s="35" t="s">
        <v>173</v>
      </c>
    </row>
    <row r="57" spans="1:10" x14ac:dyDescent="0.25">
      <c r="A57" t="s">
        <v>15</v>
      </c>
      <c r="B57">
        <f>SUMIFS(E5:E52,D5:D52,A57)</f>
        <v>67</v>
      </c>
    </row>
    <row r="58" spans="1:10" x14ac:dyDescent="0.25">
      <c r="A58" t="s">
        <v>130</v>
      </c>
      <c r="B58">
        <f>SUMIFS(E5:E52,D5:D52,A58)</f>
        <v>24</v>
      </c>
    </row>
    <row r="59" spans="1:10" x14ac:dyDescent="0.25">
      <c r="A59" s="35" t="s">
        <v>174</v>
      </c>
      <c r="B59" s="35">
        <f>SUM(B57:B58)</f>
        <v>91</v>
      </c>
    </row>
    <row r="61" spans="1:10" ht="30.1" customHeight="1" x14ac:dyDescent="0.25">
      <c r="A61" s="2" t="s">
        <v>175</v>
      </c>
      <c r="B61" s="2"/>
      <c r="C61" s="2"/>
      <c r="D61" s="2"/>
      <c r="E61" s="2"/>
      <c r="F61" s="2"/>
      <c r="G61" s="2"/>
      <c r="H61" s="2"/>
      <c r="I61" s="2"/>
      <c r="J61" s="2"/>
    </row>
  </sheetData>
  <mergeCells count="3">
    <mergeCell ref="A1:K1"/>
    <mergeCell ref="A2:K2"/>
    <mergeCell ref="A61:J61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C1-Internal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25" defaultRowHeight="14.3" x14ac:dyDescent="0.25"/>
  <cols>
    <col min="1" max="1" width="8" customWidth="1"/>
    <col min="2" max="2" width="46" customWidth="1"/>
    <col min="3" max="3" width="18" customWidth="1"/>
    <col min="4" max="20" width="4" customWidth="1"/>
  </cols>
  <sheetData>
    <row r="1" spans="1:20" ht="18.350000000000001" x14ac:dyDescent="0.3">
      <c r="A1" s="5" t="s">
        <v>176</v>
      </c>
    </row>
    <row r="3" spans="1:20" ht="25.85" x14ac:dyDescent="0.25">
      <c r="A3" s="36" t="s">
        <v>2</v>
      </c>
      <c r="B3" s="36" t="s">
        <v>3</v>
      </c>
      <c r="C3" s="36" t="s">
        <v>5</v>
      </c>
      <c r="D3" s="37">
        <v>46272</v>
      </c>
      <c r="E3" s="37">
        <v>46279</v>
      </c>
      <c r="F3" s="37">
        <v>46286</v>
      </c>
      <c r="G3" s="37">
        <v>46293</v>
      </c>
      <c r="H3" s="37">
        <v>46300</v>
      </c>
      <c r="I3" s="37">
        <v>46307</v>
      </c>
      <c r="J3" s="37">
        <v>46314</v>
      </c>
      <c r="K3" s="37">
        <v>46321</v>
      </c>
      <c r="L3" s="37">
        <v>46328</v>
      </c>
      <c r="M3" s="37">
        <v>46335</v>
      </c>
      <c r="N3" s="37">
        <v>46342</v>
      </c>
      <c r="O3" s="37">
        <v>46349</v>
      </c>
      <c r="P3" s="37">
        <v>46356</v>
      </c>
      <c r="Q3" s="37">
        <v>46363</v>
      </c>
      <c r="R3" s="37">
        <v>46370</v>
      </c>
      <c r="S3" s="37">
        <v>46377</v>
      </c>
      <c r="T3" s="37">
        <v>46384</v>
      </c>
    </row>
    <row r="4" spans="1:20" x14ac:dyDescent="0.25">
      <c r="A4" s="38" t="s">
        <v>12</v>
      </c>
      <c r="B4" s="39" t="s">
        <v>13</v>
      </c>
      <c r="C4" s="40" t="s">
        <v>15</v>
      </c>
      <c r="D4" s="41">
        <f>IF(AND('Plan de tareas'!$H$5&lt;=DATE(2026,9,13),'Plan de tareas'!$I$5&gt;=DATE(2026,9,7)),1,0)</f>
        <v>1</v>
      </c>
      <c r="E4" s="41">
        <f>IF(AND('Plan de tareas'!$H$5&lt;=DATE(2026,9,20),'Plan de tareas'!$I$5&gt;=DATE(2026,9,14)),1,0)</f>
        <v>0</v>
      </c>
      <c r="F4" s="41">
        <f>IF(AND('Plan de tareas'!$H$5&lt;=DATE(2026,9,27),'Plan de tareas'!$I$5&gt;=DATE(2026,9,21)),1,0)</f>
        <v>0</v>
      </c>
      <c r="G4" s="41">
        <f>IF(AND('Plan de tareas'!$H$5&lt;=DATE(2026,10,4),'Plan de tareas'!$I$5&gt;=DATE(2026,9,28)),1,0)</f>
        <v>0</v>
      </c>
      <c r="H4" s="41">
        <f>IF(AND('Plan de tareas'!$H$5&lt;=DATE(2026,10,11),'Plan de tareas'!$I$5&gt;=DATE(2026,10,5)),1,0)</f>
        <v>0</v>
      </c>
      <c r="I4" s="41">
        <f>IF(AND('Plan de tareas'!$H$5&lt;=DATE(2026,10,18),'Plan de tareas'!$I$5&gt;=DATE(2026,10,12)),1,0)</f>
        <v>0</v>
      </c>
      <c r="J4" s="41">
        <f>IF(AND('Plan de tareas'!$H$5&lt;=DATE(2026,10,25),'Plan de tareas'!$I$5&gt;=DATE(2026,10,19)),1,0)</f>
        <v>0</v>
      </c>
      <c r="K4" s="41">
        <f>IF(AND('Plan de tareas'!$H$5&lt;=DATE(2026,11,1),'Plan de tareas'!$I$5&gt;=DATE(2026,10,26)),1,0)</f>
        <v>0</v>
      </c>
      <c r="L4" s="41">
        <f>IF(AND('Plan de tareas'!$H$5&lt;=DATE(2026,11,8),'Plan de tareas'!$I$5&gt;=DATE(2026,11,2)),1,0)</f>
        <v>0</v>
      </c>
      <c r="M4" s="41">
        <f>IF(AND('Plan de tareas'!$H$5&lt;=DATE(2026,11,15),'Plan de tareas'!$I$5&gt;=DATE(2026,11,9)),1,0)</f>
        <v>0</v>
      </c>
      <c r="N4" s="41">
        <f>IF(AND('Plan de tareas'!$H$5&lt;=DATE(2026,11,22),'Plan de tareas'!$I$5&gt;=DATE(2026,11,16)),1,0)</f>
        <v>0</v>
      </c>
      <c r="O4" s="41">
        <f>IF(AND('Plan de tareas'!$H$5&lt;=DATE(2026,11,29),'Plan de tareas'!$I$5&gt;=DATE(2026,11,23)),1,0)</f>
        <v>0</v>
      </c>
      <c r="P4" s="41">
        <f>IF(AND('Plan de tareas'!$H$5&lt;=DATE(2026,12,6),'Plan de tareas'!$I$5&gt;=DATE(2026,11,30)),1,0)</f>
        <v>0</v>
      </c>
      <c r="Q4" s="41">
        <f>IF(AND('Plan de tareas'!$H$5&lt;=DATE(2026,12,13),'Plan de tareas'!$I$5&gt;=DATE(2026,12,7)),1,0)</f>
        <v>0</v>
      </c>
      <c r="R4" s="41">
        <f>IF(AND('Plan de tareas'!$H$5&lt;=DATE(2026,12,20),'Plan de tareas'!$I$5&gt;=DATE(2026,12,14)),1,0)</f>
        <v>0</v>
      </c>
      <c r="S4" s="41">
        <f>IF(AND('Plan de tareas'!$H$5&lt;=DATE(2026,12,27),'Plan de tareas'!$I$5&gt;=DATE(2026,12,21)),1,0)</f>
        <v>0</v>
      </c>
      <c r="T4" s="41">
        <f>IF(AND('Plan de tareas'!$H$5&lt;=DATE(2027,1,3),'Plan de tareas'!$I$5&gt;=DATE(2026,12,28)),1,0)</f>
        <v>0</v>
      </c>
    </row>
    <row r="5" spans="1:20" x14ac:dyDescent="0.25">
      <c r="A5" s="38" t="s">
        <v>19</v>
      </c>
      <c r="B5" s="39" t="s">
        <v>20</v>
      </c>
      <c r="C5" s="40" t="s">
        <v>15</v>
      </c>
      <c r="D5" s="41">
        <f>IF(AND('Plan de tareas'!$H$6&lt;=DATE(2026,9,13),'Plan de tareas'!$I$6&gt;=DATE(2026,9,7)),1,0)</f>
        <v>1</v>
      </c>
      <c r="E5" s="41">
        <f>IF(AND('Plan de tareas'!$H$6&lt;=DATE(2026,9,20),'Plan de tareas'!$I$6&gt;=DATE(2026,9,14)),1,0)</f>
        <v>0</v>
      </c>
      <c r="F5" s="41">
        <f>IF(AND('Plan de tareas'!$H$6&lt;=DATE(2026,9,27),'Plan de tareas'!$I$6&gt;=DATE(2026,9,21)),1,0)</f>
        <v>0</v>
      </c>
      <c r="G5" s="41">
        <f>IF(AND('Plan de tareas'!$H$6&lt;=DATE(2026,10,4),'Plan de tareas'!$I$6&gt;=DATE(2026,9,28)),1,0)</f>
        <v>0</v>
      </c>
      <c r="H5" s="41">
        <f>IF(AND('Plan de tareas'!$H$6&lt;=DATE(2026,10,11),'Plan de tareas'!$I$6&gt;=DATE(2026,10,5)),1,0)</f>
        <v>0</v>
      </c>
      <c r="I5" s="41">
        <f>IF(AND('Plan de tareas'!$H$6&lt;=DATE(2026,10,18),'Plan de tareas'!$I$6&gt;=DATE(2026,10,12)),1,0)</f>
        <v>0</v>
      </c>
      <c r="J5" s="41">
        <f>IF(AND('Plan de tareas'!$H$6&lt;=DATE(2026,10,25),'Plan de tareas'!$I$6&gt;=DATE(2026,10,19)),1,0)</f>
        <v>0</v>
      </c>
      <c r="K5" s="41">
        <f>IF(AND('Plan de tareas'!$H$6&lt;=DATE(2026,11,1),'Plan de tareas'!$I$6&gt;=DATE(2026,10,26)),1,0)</f>
        <v>0</v>
      </c>
      <c r="L5" s="41">
        <f>IF(AND('Plan de tareas'!$H$6&lt;=DATE(2026,11,8),'Plan de tareas'!$I$6&gt;=DATE(2026,11,2)),1,0)</f>
        <v>0</v>
      </c>
      <c r="M5" s="41">
        <f>IF(AND('Plan de tareas'!$H$6&lt;=DATE(2026,11,15),'Plan de tareas'!$I$6&gt;=DATE(2026,11,9)),1,0)</f>
        <v>0</v>
      </c>
      <c r="N5" s="41">
        <f>IF(AND('Plan de tareas'!$H$6&lt;=DATE(2026,11,22),'Plan de tareas'!$I$6&gt;=DATE(2026,11,16)),1,0)</f>
        <v>0</v>
      </c>
      <c r="O5" s="41">
        <f>IF(AND('Plan de tareas'!$H$6&lt;=DATE(2026,11,29),'Plan de tareas'!$I$6&gt;=DATE(2026,11,23)),1,0)</f>
        <v>0</v>
      </c>
      <c r="P5" s="41">
        <f>IF(AND('Plan de tareas'!$H$6&lt;=DATE(2026,12,6),'Plan de tareas'!$I$6&gt;=DATE(2026,11,30)),1,0)</f>
        <v>0</v>
      </c>
      <c r="Q5" s="41">
        <f>IF(AND('Plan de tareas'!$H$6&lt;=DATE(2026,12,13),'Plan de tareas'!$I$6&gt;=DATE(2026,12,7)),1,0)</f>
        <v>0</v>
      </c>
      <c r="R5" s="41">
        <f>IF(AND('Plan de tareas'!$H$6&lt;=DATE(2026,12,20),'Plan de tareas'!$I$6&gt;=DATE(2026,12,14)),1,0)</f>
        <v>0</v>
      </c>
      <c r="S5" s="41">
        <f>IF(AND('Plan de tareas'!$H$6&lt;=DATE(2026,12,27),'Plan de tareas'!$I$6&gt;=DATE(2026,12,21)),1,0)</f>
        <v>0</v>
      </c>
      <c r="T5" s="41">
        <f>IF(AND('Plan de tareas'!$H$6&lt;=DATE(2027,1,3),'Plan de tareas'!$I$6&gt;=DATE(2026,12,28)),1,0)</f>
        <v>0</v>
      </c>
    </row>
    <row r="6" spans="1:20" x14ac:dyDescent="0.25">
      <c r="A6" s="38" t="s">
        <v>22</v>
      </c>
      <c r="B6" s="39" t="s">
        <v>23</v>
      </c>
      <c r="C6" s="40" t="s">
        <v>15</v>
      </c>
      <c r="D6" s="41">
        <f>IF(AND('Plan de tareas'!$H$7&lt;=DATE(2026,9,13),'Plan de tareas'!$I$7&gt;=DATE(2026,9,7)),1,0)</f>
        <v>1</v>
      </c>
      <c r="E6" s="41">
        <f>IF(AND('Plan de tareas'!$H$7&lt;=DATE(2026,9,20),'Plan de tareas'!$I$7&gt;=DATE(2026,9,14)),1,0)</f>
        <v>0</v>
      </c>
      <c r="F6" s="41">
        <f>IF(AND('Plan de tareas'!$H$7&lt;=DATE(2026,9,27),'Plan de tareas'!$I$7&gt;=DATE(2026,9,21)),1,0)</f>
        <v>0</v>
      </c>
      <c r="G6" s="41">
        <f>IF(AND('Plan de tareas'!$H$7&lt;=DATE(2026,10,4),'Plan de tareas'!$I$7&gt;=DATE(2026,9,28)),1,0)</f>
        <v>0</v>
      </c>
      <c r="H6" s="41">
        <f>IF(AND('Plan de tareas'!$H$7&lt;=DATE(2026,10,11),'Plan de tareas'!$I$7&gt;=DATE(2026,10,5)),1,0)</f>
        <v>0</v>
      </c>
      <c r="I6" s="41">
        <f>IF(AND('Plan de tareas'!$H$7&lt;=DATE(2026,10,18),'Plan de tareas'!$I$7&gt;=DATE(2026,10,12)),1,0)</f>
        <v>0</v>
      </c>
      <c r="J6" s="41">
        <f>IF(AND('Plan de tareas'!$H$7&lt;=DATE(2026,10,25),'Plan de tareas'!$I$7&gt;=DATE(2026,10,19)),1,0)</f>
        <v>0</v>
      </c>
      <c r="K6" s="41">
        <f>IF(AND('Plan de tareas'!$H$7&lt;=DATE(2026,11,1),'Plan de tareas'!$I$7&gt;=DATE(2026,10,26)),1,0)</f>
        <v>0</v>
      </c>
      <c r="L6" s="41">
        <f>IF(AND('Plan de tareas'!$H$7&lt;=DATE(2026,11,8),'Plan de tareas'!$I$7&gt;=DATE(2026,11,2)),1,0)</f>
        <v>0</v>
      </c>
      <c r="M6" s="41">
        <f>IF(AND('Plan de tareas'!$H$7&lt;=DATE(2026,11,15),'Plan de tareas'!$I$7&gt;=DATE(2026,11,9)),1,0)</f>
        <v>0</v>
      </c>
      <c r="N6" s="41">
        <f>IF(AND('Plan de tareas'!$H$7&lt;=DATE(2026,11,22),'Plan de tareas'!$I$7&gt;=DATE(2026,11,16)),1,0)</f>
        <v>0</v>
      </c>
      <c r="O6" s="41">
        <f>IF(AND('Plan de tareas'!$H$7&lt;=DATE(2026,11,29),'Plan de tareas'!$I$7&gt;=DATE(2026,11,23)),1,0)</f>
        <v>0</v>
      </c>
      <c r="P6" s="41">
        <f>IF(AND('Plan de tareas'!$H$7&lt;=DATE(2026,12,6),'Plan de tareas'!$I$7&gt;=DATE(2026,11,30)),1,0)</f>
        <v>0</v>
      </c>
      <c r="Q6" s="41">
        <f>IF(AND('Plan de tareas'!$H$7&lt;=DATE(2026,12,13),'Plan de tareas'!$I$7&gt;=DATE(2026,12,7)),1,0)</f>
        <v>0</v>
      </c>
      <c r="R6" s="41">
        <f>IF(AND('Plan de tareas'!$H$7&lt;=DATE(2026,12,20),'Plan de tareas'!$I$7&gt;=DATE(2026,12,14)),1,0)</f>
        <v>0</v>
      </c>
      <c r="S6" s="41">
        <f>IF(AND('Plan de tareas'!$H$7&lt;=DATE(2026,12,27),'Plan de tareas'!$I$7&gt;=DATE(2026,12,21)),1,0)</f>
        <v>0</v>
      </c>
      <c r="T6" s="41">
        <f>IF(AND('Plan de tareas'!$H$7&lt;=DATE(2027,1,3),'Plan de tareas'!$I$7&gt;=DATE(2026,12,28)),1,0)</f>
        <v>0</v>
      </c>
    </row>
    <row r="7" spans="1:20" x14ac:dyDescent="0.25">
      <c r="A7" s="38" t="s">
        <v>25</v>
      </c>
      <c r="B7" s="39" t="s">
        <v>26</v>
      </c>
      <c r="C7" s="40" t="s">
        <v>15</v>
      </c>
      <c r="D7" s="41">
        <f>IF(AND('Plan de tareas'!$H$8&lt;=DATE(2026,9,13),'Plan de tareas'!$I$8&gt;=DATE(2026,9,7)),1,0)</f>
        <v>1</v>
      </c>
      <c r="E7" s="41">
        <f>IF(AND('Plan de tareas'!$H$8&lt;=DATE(2026,9,20),'Plan de tareas'!$I$8&gt;=DATE(2026,9,14)),1,0)</f>
        <v>0</v>
      </c>
      <c r="F7" s="41">
        <f>IF(AND('Plan de tareas'!$H$8&lt;=DATE(2026,9,27),'Plan de tareas'!$I$8&gt;=DATE(2026,9,21)),1,0)</f>
        <v>0</v>
      </c>
      <c r="G7" s="41">
        <f>IF(AND('Plan de tareas'!$H$8&lt;=DATE(2026,10,4),'Plan de tareas'!$I$8&gt;=DATE(2026,9,28)),1,0)</f>
        <v>0</v>
      </c>
      <c r="H7" s="41">
        <f>IF(AND('Plan de tareas'!$H$8&lt;=DATE(2026,10,11),'Plan de tareas'!$I$8&gt;=DATE(2026,10,5)),1,0)</f>
        <v>0</v>
      </c>
      <c r="I7" s="41">
        <f>IF(AND('Plan de tareas'!$H$8&lt;=DATE(2026,10,18),'Plan de tareas'!$I$8&gt;=DATE(2026,10,12)),1,0)</f>
        <v>0</v>
      </c>
      <c r="J7" s="41">
        <f>IF(AND('Plan de tareas'!$H$8&lt;=DATE(2026,10,25),'Plan de tareas'!$I$8&gt;=DATE(2026,10,19)),1,0)</f>
        <v>0</v>
      </c>
      <c r="K7" s="41">
        <f>IF(AND('Plan de tareas'!$H$8&lt;=DATE(2026,11,1),'Plan de tareas'!$I$8&gt;=DATE(2026,10,26)),1,0)</f>
        <v>0</v>
      </c>
      <c r="L7" s="41">
        <f>IF(AND('Plan de tareas'!$H$8&lt;=DATE(2026,11,8),'Plan de tareas'!$I$8&gt;=DATE(2026,11,2)),1,0)</f>
        <v>0</v>
      </c>
      <c r="M7" s="41">
        <f>IF(AND('Plan de tareas'!$H$8&lt;=DATE(2026,11,15),'Plan de tareas'!$I$8&gt;=DATE(2026,11,9)),1,0)</f>
        <v>0</v>
      </c>
      <c r="N7" s="41">
        <f>IF(AND('Plan de tareas'!$H$8&lt;=DATE(2026,11,22),'Plan de tareas'!$I$8&gt;=DATE(2026,11,16)),1,0)</f>
        <v>0</v>
      </c>
      <c r="O7" s="41">
        <f>IF(AND('Plan de tareas'!$H$8&lt;=DATE(2026,11,29),'Plan de tareas'!$I$8&gt;=DATE(2026,11,23)),1,0)</f>
        <v>0</v>
      </c>
      <c r="P7" s="41">
        <f>IF(AND('Plan de tareas'!$H$8&lt;=DATE(2026,12,6),'Plan de tareas'!$I$8&gt;=DATE(2026,11,30)),1,0)</f>
        <v>0</v>
      </c>
      <c r="Q7" s="41">
        <f>IF(AND('Plan de tareas'!$H$8&lt;=DATE(2026,12,13),'Plan de tareas'!$I$8&gt;=DATE(2026,12,7)),1,0)</f>
        <v>0</v>
      </c>
      <c r="R7" s="41">
        <f>IF(AND('Plan de tareas'!$H$8&lt;=DATE(2026,12,20),'Plan de tareas'!$I$8&gt;=DATE(2026,12,14)),1,0)</f>
        <v>0</v>
      </c>
      <c r="S7" s="41">
        <f>IF(AND('Plan de tareas'!$H$8&lt;=DATE(2026,12,27),'Plan de tareas'!$I$8&gt;=DATE(2026,12,21)),1,0)</f>
        <v>0</v>
      </c>
      <c r="T7" s="41">
        <f>IF(AND('Plan de tareas'!$H$8&lt;=DATE(2027,1,3),'Plan de tareas'!$I$8&gt;=DATE(2026,12,28)),1,0)</f>
        <v>0</v>
      </c>
    </row>
    <row r="8" spans="1:20" x14ac:dyDescent="0.25">
      <c r="A8" s="38" t="s">
        <v>28</v>
      </c>
      <c r="B8" s="39" t="s">
        <v>29</v>
      </c>
      <c r="C8" s="40" t="s">
        <v>15</v>
      </c>
      <c r="D8" s="41">
        <f>IF(AND('Plan de tareas'!$H$9&lt;=DATE(2026,9,13),'Plan de tareas'!$I$9&gt;=DATE(2026,9,7)),1,0)</f>
        <v>1</v>
      </c>
      <c r="E8" s="41">
        <f>IF(AND('Plan de tareas'!$H$9&lt;=DATE(2026,9,20),'Plan de tareas'!$I$9&gt;=DATE(2026,9,14)),1,0)</f>
        <v>0</v>
      </c>
      <c r="F8" s="41">
        <f>IF(AND('Plan de tareas'!$H$9&lt;=DATE(2026,9,27),'Plan de tareas'!$I$9&gt;=DATE(2026,9,21)),1,0)</f>
        <v>0</v>
      </c>
      <c r="G8" s="41">
        <f>IF(AND('Plan de tareas'!$H$9&lt;=DATE(2026,10,4),'Plan de tareas'!$I$9&gt;=DATE(2026,9,28)),1,0)</f>
        <v>0</v>
      </c>
      <c r="H8" s="41">
        <f>IF(AND('Plan de tareas'!$H$9&lt;=DATE(2026,10,11),'Plan de tareas'!$I$9&gt;=DATE(2026,10,5)),1,0)</f>
        <v>0</v>
      </c>
      <c r="I8" s="41">
        <f>IF(AND('Plan de tareas'!$H$9&lt;=DATE(2026,10,18),'Plan de tareas'!$I$9&gt;=DATE(2026,10,12)),1,0)</f>
        <v>0</v>
      </c>
      <c r="J8" s="41">
        <f>IF(AND('Plan de tareas'!$H$9&lt;=DATE(2026,10,25),'Plan de tareas'!$I$9&gt;=DATE(2026,10,19)),1,0)</f>
        <v>0</v>
      </c>
      <c r="K8" s="41">
        <f>IF(AND('Plan de tareas'!$H$9&lt;=DATE(2026,11,1),'Plan de tareas'!$I$9&gt;=DATE(2026,10,26)),1,0)</f>
        <v>0</v>
      </c>
      <c r="L8" s="41">
        <f>IF(AND('Plan de tareas'!$H$9&lt;=DATE(2026,11,8),'Plan de tareas'!$I$9&gt;=DATE(2026,11,2)),1,0)</f>
        <v>0</v>
      </c>
      <c r="M8" s="41">
        <f>IF(AND('Plan de tareas'!$H$9&lt;=DATE(2026,11,15),'Plan de tareas'!$I$9&gt;=DATE(2026,11,9)),1,0)</f>
        <v>0</v>
      </c>
      <c r="N8" s="41">
        <f>IF(AND('Plan de tareas'!$H$9&lt;=DATE(2026,11,22),'Plan de tareas'!$I$9&gt;=DATE(2026,11,16)),1,0)</f>
        <v>0</v>
      </c>
      <c r="O8" s="41">
        <f>IF(AND('Plan de tareas'!$H$9&lt;=DATE(2026,11,29),'Plan de tareas'!$I$9&gt;=DATE(2026,11,23)),1,0)</f>
        <v>0</v>
      </c>
      <c r="P8" s="41">
        <f>IF(AND('Plan de tareas'!$H$9&lt;=DATE(2026,12,6),'Plan de tareas'!$I$9&gt;=DATE(2026,11,30)),1,0)</f>
        <v>0</v>
      </c>
      <c r="Q8" s="41">
        <f>IF(AND('Plan de tareas'!$H$9&lt;=DATE(2026,12,13),'Plan de tareas'!$I$9&gt;=DATE(2026,12,7)),1,0)</f>
        <v>0</v>
      </c>
      <c r="R8" s="41">
        <f>IF(AND('Plan de tareas'!$H$9&lt;=DATE(2026,12,20),'Plan de tareas'!$I$9&gt;=DATE(2026,12,14)),1,0)</f>
        <v>0</v>
      </c>
      <c r="S8" s="41">
        <f>IF(AND('Plan de tareas'!$H$9&lt;=DATE(2026,12,27),'Plan de tareas'!$I$9&gt;=DATE(2026,12,21)),1,0)</f>
        <v>0</v>
      </c>
      <c r="T8" s="41">
        <f>IF(AND('Plan de tareas'!$H$9&lt;=DATE(2027,1,3),'Plan de tareas'!$I$9&gt;=DATE(2026,12,28)),1,0)</f>
        <v>0</v>
      </c>
    </row>
    <row r="9" spans="1:20" x14ac:dyDescent="0.25">
      <c r="A9" s="42" t="s">
        <v>31</v>
      </c>
      <c r="B9" s="43" t="s">
        <v>32</v>
      </c>
      <c r="C9" s="44" t="s">
        <v>15</v>
      </c>
      <c r="D9" s="41">
        <f>IF(AND('Plan de tareas'!$H$10&lt;=DATE(2026,9,13),'Plan de tareas'!$I$10&gt;=DATE(2026,9,7)),1,0)</f>
        <v>1</v>
      </c>
      <c r="E9" s="41">
        <f>IF(AND('Plan de tareas'!$H$10&lt;=DATE(2026,9,20),'Plan de tareas'!$I$10&gt;=DATE(2026,9,14)),1,0)</f>
        <v>0</v>
      </c>
      <c r="F9" s="41">
        <f>IF(AND('Plan de tareas'!$H$10&lt;=DATE(2026,9,27),'Plan de tareas'!$I$10&gt;=DATE(2026,9,21)),1,0)</f>
        <v>0</v>
      </c>
      <c r="G9" s="41">
        <f>IF(AND('Plan de tareas'!$H$10&lt;=DATE(2026,10,4),'Plan de tareas'!$I$10&gt;=DATE(2026,9,28)),1,0)</f>
        <v>0</v>
      </c>
      <c r="H9" s="41">
        <f>IF(AND('Plan de tareas'!$H$10&lt;=DATE(2026,10,11),'Plan de tareas'!$I$10&gt;=DATE(2026,10,5)),1,0)</f>
        <v>0</v>
      </c>
      <c r="I9" s="41">
        <f>IF(AND('Plan de tareas'!$H$10&lt;=DATE(2026,10,18),'Plan de tareas'!$I$10&gt;=DATE(2026,10,12)),1,0)</f>
        <v>0</v>
      </c>
      <c r="J9" s="41">
        <f>IF(AND('Plan de tareas'!$H$10&lt;=DATE(2026,10,25),'Plan de tareas'!$I$10&gt;=DATE(2026,10,19)),1,0)</f>
        <v>0</v>
      </c>
      <c r="K9" s="41">
        <f>IF(AND('Plan de tareas'!$H$10&lt;=DATE(2026,11,1),'Plan de tareas'!$I$10&gt;=DATE(2026,10,26)),1,0)</f>
        <v>0</v>
      </c>
      <c r="L9" s="41">
        <f>IF(AND('Plan de tareas'!$H$10&lt;=DATE(2026,11,8),'Plan de tareas'!$I$10&gt;=DATE(2026,11,2)),1,0)</f>
        <v>0</v>
      </c>
      <c r="M9" s="41">
        <f>IF(AND('Plan de tareas'!$H$10&lt;=DATE(2026,11,15),'Plan de tareas'!$I$10&gt;=DATE(2026,11,9)),1,0)</f>
        <v>0</v>
      </c>
      <c r="N9" s="41">
        <f>IF(AND('Plan de tareas'!$H$10&lt;=DATE(2026,11,22),'Plan de tareas'!$I$10&gt;=DATE(2026,11,16)),1,0)</f>
        <v>0</v>
      </c>
      <c r="O9" s="41">
        <f>IF(AND('Plan de tareas'!$H$10&lt;=DATE(2026,11,29),'Plan de tareas'!$I$10&gt;=DATE(2026,11,23)),1,0)</f>
        <v>0</v>
      </c>
      <c r="P9" s="41">
        <f>IF(AND('Plan de tareas'!$H$10&lt;=DATE(2026,12,6),'Plan de tareas'!$I$10&gt;=DATE(2026,11,30)),1,0)</f>
        <v>0</v>
      </c>
      <c r="Q9" s="41">
        <f>IF(AND('Plan de tareas'!$H$10&lt;=DATE(2026,12,13),'Plan de tareas'!$I$10&gt;=DATE(2026,12,7)),1,0)</f>
        <v>0</v>
      </c>
      <c r="R9" s="41">
        <f>IF(AND('Plan de tareas'!$H$10&lt;=DATE(2026,12,20),'Plan de tareas'!$I$10&gt;=DATE(2026,12,14)),1,0)</f>
        <v>0</v>
      </c>
      <c r="S9" s="41">
        <f>IF(AND('Plan de tareas'!$H$10&lt;=DATE(2026,12,27),'Plan de tareas'!$I$10&gt;=DATE(2026,12,21)),1,0)</f>
        <v>0</v>
      </c>
      <c r="T9" s="41">
        <f>IF(AND('Plan de tareas'!$H$10&lt;=DATE(2027,1,3),'Plan de tareas'!$I$10&gt;=DATE(2026,12,28)),1,0)</f>
        <v>0</v>
      </c>
    </row>
    <row r="10" spans="1:20" x14ac:dyDescent="0.25">
      <c r="A10" s="42" t="s">
        <v>36</v>
      </c>
      <c r="B10" s="43" t="s">
        <v>37</v>
      </c>
      <c r="C10" s="44" t="s">
        <v>15</v>
      </c>
      <c r="D10" s="41">
        <f>IF(AND('Plan de tareas'!$H$11&lt;=DATE(2026,9,13),'Plan de tareas'!$I$11&gt;=DATE(2026,9,7)),1,0)</f>
        <v>1</v>
      </c>
      <c r="E10" s="41">
        <f>IF(AND('Plan de tareas'!$H$11&lt;=DATE(2026,9,20),'Plan de tareas'!$I$11&gt;=DATE(2026,9,14)),1,0)</f>
        <v>0</v>
      </c>
      <c r="F10" s="41">
        <f>IF(AND('Plan de tareas'!$H$11&lt;=DATE(2026,9,27),'Plan de tareas'!$I$11&gt;=DATE(2026,9,21)),1,0)</f>
        <v>0</v>
      </c>
      <c r="G10" s="41">
        <f>IF(AND('Plan de tareas'!$H$11&lt;=DATE(2026,10,4),'Plan de tareas'!$I$11&gt;=DATE(2026,9,28)),1,0)</f>
        <v>0</v>
      </c>
      <c r="H10" s="41">
        <f>IF(AND('Plan de tareas'!$H$11&lt;=DATE(2026,10,11),'Plan de tareas'!$I$11&gt;=DATE(2026,10,5)),1,0)</f>
        <v>0</v>
      </c>
      <c r="I10" s="41">
        <f>IF(AND('Plan de tareas'!$H$11&lt;=DATE(2026,10,18),'Plan de tareas'!$I$11&gt;=DATE(2026,10,12)),1,0)</f>
        <v>0</v>
      </c>
      <c r="J10" s="41">
        <f>IF(AND('Plan de tareas'!$H$11&lt;=DATE(2026,10,25),'Plan de tareas'!$I$11&gt;=DATE(2026,10,19)),1,0)</f>
        <v>0</v>
      </c>
      <c r="K10" s="41">
        <f>IF(AND('Plan de tareas'!$H$11&lt;=DATE(2026,11,1),'Plan de tareas'!$I$11&gt;=DATE(2026,10,26)),1,0)</f>
        <v>0</v>
      </c>
      <c r="L10" s="41">
        <f>IF(AND('Plan de tareas'!$H$11&lt;=DATE(2026,11,8),'Plan de tareas'!$I$11&gt;=DATE(2026,11,2)),1,0)</f>
        <v>0</v>
      </c>
      <c r="M10" s="41">
        <f>IF(AND('Plan de tareas'!$H$11&lt;=DATE(2026,11,15),'Plan de tareas'!$I$11&gt;=DATE(2026,11,9)),1,0)</f>
        <v>0</v>
      </c>
      <c r="N10" s="41">
        <f>IF(AND('Plan de tareas'!$H$11&lt;=DATE(2026,11,22),'Plan de tareas'!$I$11&gt;=DATE(2026,11,16)),1,0)</f>
        <v>0</v>
      </c>
      <c r="O10" s="41">
        <f>IF(AND('Plan de tareas'!$H$11&lt;=DATE(2026,11,29),'Plan de tareas'!$I$11&gt;=DATE(2026,11,23)),1,0)</f>
        <v>0</v>
      </c>
      <c r="P10" s="41">
        <f>IF(AND('Plan de tareas'!$H$11&lt;=DATE(2026,12,6),'Plan de tareas'!$I$11&gt;=DATE(2026,11,30)),1,0)</f>
        <v>0</v>
      </c>
      <c r="Q10" s="41">
        <f>IF(AND('Plan de tareas'!$H$11&lt;=DATE(2026,12,13),'Plan de tareas'!$I$11&gt;=DATE(2026,12,7)),1,0)</f>
        <v>0</v>
      </c>
      <c r="R10" s="41">
        <f>IF(AND('Plan de tareas'!$H$11&lt;=DATE(2026,12,20),'Plan de tareas'!$I$11&gt;=DATE(2026,12,14)),1,0)</f>
        <v>0</v>
      </c>
      <c r="S10" s="41">
        <f>IF(AND('Plan de tareas'!$H$11&lt;=DATE(2026,12,27),'Plan de tareas'!$I$11&gt;=DATE(2026,12,21)),1,0)</f>
        <v>0</v>
      </c>
      <c r="T10" s="41">
        <f>IF(AND('Plan de tareas'!$H$11&lt;=DATE(2027,1,3),'Plan de tareas'!$I$11&gt;=DATE(2026,12,28)),1,0)</f>
        <v>0</v>
      </c>
    </row>
    <row r="11" spans="1:20" x14ac:dyDescent="0.25">
      <c r="A11" s="42" t="s">
        <v>39</v>
      </c>
      <c r="B11" s="43" t="s">
        <v>40</v>
      </c>
      <c r="C11" s="44" t="s">
        <v>15</v>
      </c>
      <c r="D11" s="41">
        <f>IF(AND('Plan de tareas'!$H$12&lt;=DATE(2026,9,13),'Plan de tareas'!$I$12&gt;=DATE(2026,9,7)),1,0)</f>
        <v>1</v>
      </c>
      <c r="E11" s="41">
        <f>IF(AND('Plan de tareas'!$H$12&lt;=DATE(2026,9,20),'Plan de tareas'!$I$12&gt;=DATE(2026,9,14)),1,0)</f>
        <v>0</v>
      </c>
      <c r="F11" s="41">
        <f>IF(AND('Plan de tareas'!$H$12&lt;=DATE(2026,9,27),'Plan de tareas'!$I$12&gt;=DATE(2026,9,21)),1,0)</f>
        <v>0</v>
      </c>
      <c r="G11" s="41">
        <f>IF(AND('Plan de tareas'!$H$12&lt;=DATE(2026,10,4),'Plan de tareas'!$I$12&gt;=DATE(2026,9,28)),1,0)</f>
        <v>0</v>
      </c>
      <c r="H11" s="41">
        <f>IF(AND('Plan de tareas'!$H$12&lt;=DATE(2026,10,11),'Plan de tareas'!$I$12&gt;=DATE(2026,10,5)),1,0)</f>
        <v>0</v>
      </c>
      <c r="I11" s="41">
        <f>IF(AND('Plan de tareas'!$H$12&lt;=DATE(2026,10,18),'Plan de tareas'!$I$12&gt;=DATE(2026,10,12)),1,0)</f>
        <v>0</v>
      </c>
      <c r="J11" s="41">
        <f>IF(AND('Plan de tareas'!$H$12&lt;=DATE(2026,10,25),'Plan de tareas'!$I$12&gt;=DATE(2026,10,19)),1,0)</f>
        <v>0</v>
      </c>
      <c r="K11" s="41">
        <f>IF(AND('Plan de tareas'!$H$12&lt;=DATE(2026,11,1),'Plan de tareas'!$I$12&gt;=DATE(2026,10,26)),1,0)</f>
        <v>0</v>
      </c>
      <c r="L11" s="41">
        <f>IF(AND('Plan de tareas'!$H$12&lt;=DATE(2026,11,8),'Plan de tareas'!$I$12&gt;=DATE(2026,11,2)),1,0)</f>
        <v>0</v>
      </c>
      <c r="M11" s="41">
        <f>IF(AND('Plan de tareas'!$H$12&lt;=DATE(2026,11,15),'Plan de tareas'!$I$12&gt;=DATE(2026,11,9)),1,0)</f>
        <v>0</v>
      </c>
      <c r="N11" s="41">
        <f>IF(AND('Plan de tareas'!$H$12&lt;=DATE(2026,11,22),'Plan de tareas'!$I$12&gt;=DATE(2026,11,16)),1,0)</f>
        <v>0</v>
      </c>
      <c r="O11" s="41">
        <f>IF(AND('Plan de tareas'!$H$12&lt;=DATE(2026,11,29),'Plan de tareas'!$I$12&gt;=DATE(2026,11,23)),1,0)</f>
        <v>0</v>
      </c>
      <c r="P11" s="41">
        <f>IF(AND('Plan de tareas'!$H$12&lt;=DATE(2026,12,6),'Plan de tareas'!$I$12&gt;=DATE(2026,11,30)),1,0)</f>
        <v>0</v>
      </c>
      <c r="Q11" s="41">
        <f>IF(AND('Plan de tareas'!$H$12&lt;=DATE(2026,12,13),'Plan de tareas'!$I$12&gt;=DATE(2026,12,7)),1,0)</f>
        <v>0</v>
      </c>
      <c r="R11" s="41">
        <f>IF(AND('Plan de tareas'!$H$12&lt;=DATE(2026,12,20),'Plan de tareas'!$I$12&gt;=DATE(2026,12,14)),1,0)</f>
        <v>0</v>
      </c>
      <c r="S11" s="41">
        <f>IF(AND('Plan de tareas'!$H$12&lt;=DATE(2026,12,27),'Plan de tareas'!$I$12&gt;=DATE(2026,12,21)),1,0)</f>
        <v>0</v>
      </c>
      <c r="T11" s="41">
        <f>IF(AND('Plan de tareas'!$H$12&lt;=DATE(2027,1,3),'Plan de tareas'!$I$12&gt;=DATE(2026,12,28)),1,0)</f>
        <v>0</v>
      </c>
    </row>
    <row r="12" spans="1:20" x14ac:dyDescent="0.25">
      <c r="A12" s="42" t="s">
        <v>42</v>
      </c>
      <c r="B12" s="43" t="s">
        <v>43</v>
      </c>
      <c r="C12" s="44" t="s">
        <v>15</v>
      </c>
      <c r="D12" s="41">
        <f>IF(AND('Plan de tareas'!$H$13&lt;=DATE(2026,9,13),'Plan de tareas'!$I$13&gt;=DATE(2026,9,7)),1,0)</f>
        <v>1</v>
      </c>
      <c r="E12" s="41">
        <f>IF(AND('Plan de tareas'!$H$13&lt;=DATE(2026,9,20),'Plan de tareas'!$I$13&gt;=DATE(2026,9,14)),1,0)</f>
        <v>0</v>
      </c>
      <c r="F12" s="41">
        <f>IF(AND('Plan de tareas'!$H$13&lt;=DATE(2026,9,27),'Plan de tareas'!$I$13&gt;=DATE(2026,9,21)),1,0)</f>
        <v>0</v>
      </c>
      <c r="G12" s="41">
        <f>IF(AND('Plan de tareas'!$H$13&lt;=DATE(2026,10,4),'Plan de tareas'!$I$13&gt;=DATE(2026,9,28)),1,0)</f>
        <v>0</v>
      </c>
      <c r="H12" s="41">
        <f>IF(AND('Plan de tareas'!$H$13&lt;=DATE(2026,10,11),'Plan de tareas'!$I$13&gt;=DATE(2026,10,5)),1,0)</f>
        <v>0</v>
      </c>
      <c r="I12" s="41">
        <f>IF(AND('Plan de tareas'!$H$13&lt;=DATE(2026,10,18),'Plan de tareas'!$I$13&gt;=DATE(2026,10,12)),1,0)</f>
        <v>0</v>
      </c>
      <c r="J12" s="41">
        <f>IF(AND('Plan de tareas'!$H$13&lt;=DATE(2026,10,25),'Plan de tareas'!$I$13&gt;=DATE(2026,10,19)),1,0)</f>
        <v>0</v>
      </c>
      <c r="K12" s="41">
        <f>IF(AND('Plan de tareas'!$H$13&lt;=DATE(2026,11,1),'Plan de tareas'!$I$13&gt;=DATE(2026,10,26)),1,0)</f>
        <v>0</v>
      </c>
      <c r="L12" s="41">
        <f>IF(AND('Plan de tareas'!$H$13&lt;=DATE(2026,11,8),'Plan de tareas'!$I$13&gt;=DATE(2026,11,2)),1,0)</f>
        <v>0</v>
      </c>
      <c r="M12" s="41">
        <f>IF(AND('Plan de tareas'!$H$13&lt;=DATE(2026,11,15),'Plan de tareas'!$I$13&gt;=DATE(2026,11,9)),1,0)</f>
        <v>0</v>
      </c>
      <c r="N12" s="41">
        <f>IF(AND('Plan de tareas'!$H$13&lt;=DATE(2026,11,22),'Plan de tareas'!$I$13&gt;=DATE(2026,11,16)),1,0)</f>
        <v>0</v>
      </c>
      <c r="O12" s="41">
        <f>IF(AND('Plan de tareas'!$H$13&lt;=DATE(2026,11,29),'Plan de tareas'!$I$13&gt;=DATE(2026,11,23)),1,0)</f>
        <v>0</v>
      </c>
      <c r="P12" s="41">
        <f>IF(AND('Plan de tareas'!$H$13&lt;=DATE(2026,12,6),'Plan de tareas'!$I$13&gt;=DATE(2026,11,30)),1,0)</f>
        <v>0</v>
      </c>
      <c r="Q12" s="41">
        <f>IF(AND('Plan de tareas'!$H$13&lt;=DATE(2026,12,13),'Plan de tareas'!$I$13&gt;=DATE(2026,12,7)),1,0)</f>
        <v>0</v>
      </c>
      <c r="R12" s="41">
        <f>IF(AND('Plan de tareas'!$H$13&lt;=DATE(2026,12,20),'Plan de tareas'!$I$13&gt;=DATE(2026,12,14)),1,0)</f>
        <v>0</v>
      </c>
      <c r="S12" s="41">
        <f>IF(AND('Plan de tareas'!$H$13&lt;=DATE(2026,12,27),'Plan de tareas'!$I$13&gt;=DATE(2026,12,21)),1,0)</f>
        <v>0</v>
      </c>
      <c r="T12" s="41">
        <f>IF(AND('Plan de tareas'!$H$13&lt;=DATE(2027,1,3),'Plan de tareas'!$I$13&gt;=DATE(2026,12,28)),1,0)</f>
        <v>0</v>
      </c>
    </row>
    <row r="13" spans="1:20" x14ac:dyDescent="0.25">
      <c r="A13" s="42" t="s">
        <v>45</v>
      </c>
      <c r="B13" s="43" t="s">
        <v>46</v>
      </c>
      <c r="C13" s="44" t="s">
        <v>15</v>
      </c>
      <c r="D13" s="41">
        <f>IF(AND('Plan de tareas'!$H$14&lt;=DATE(2026,9,13),'Plan de tareas'!$I$14&gt;=DATE(2026,9,7)),1,0)</f>
        <v>1</v>
      </c>
      <c r="E13" s="41">
        <f>IF(AND('Plan de tareas'!$H$14&lt;=DATE(2026,9,20),'Plan de tareas'!$I$14&gt;=DATE(2026,9,14)),1,0)</f>
        <v>1</v>
      </c>
      <c r="F13" s="41">
        <f>IF(AND('Plan de tareas'!$H$14&lt;=DATE(2026,9,27),'Plan de tareas'!$I$14&gt;=DATE(2026,9,21)),1,0)</f>
        <v>0</v>
      </c>
      <c r="G13" s="41">
        <f>IF(AND('Plan de tareas'!$H$14&lt;=DATE(2026,10,4),'Plan de tareas'!$I$14&gt;=DATE(2026,9,28)),1,0)</f>
        <v>0</v>
      </c>
      <c r="H13" s="41">
        <f>IF(AND('Plan de tareas'!$H$14&lt;=DATE(2026,10,11),'Plan de tareas'!$I$14&gt;=DATE(2026,10,5)),1,0)</f>
        <v>0</v>
      </c>
      <c r="I13" s="41">
        <f>IF(AND('Plan de tareas'!$H$14&lt;=DATE(2026,10,18),'Plan de tareas'!$I$14&gt;=DATE(2026,10,12)),1,0)</f>
        <v>0</v>
      </c>
      <c r="J13" s="41">
        <f>IF(AND('Plan de tareas'!$H$14&lt;=DATE(2026,10,25),'Plan de tareas'!$I$14&gt;=DATE(2026,10,19)),1,0)</f>
        <v>0</v>
      </c>
      <c r="K13" s="41">
        <f>IF(AND('Plan de tareas'!$H$14&lt;=DATE(2026,11,1),'Plan de tareas'!$I$14&gt;=DATE(2026,10,26)),1,0)</f>
        <v>0</v>
      </c>
      <c r="L13" s="41">
        <f>IF(AND('Plan de tareas'!$H$14&lt;=DATE(2026,11,8),'Plan de tareas'!$I$14&gt;=DATE(2026,11,2)),1,0)</f>
        <v>0</v>
      </c>
      <c r="M13" s="41">
        <f>IF(AND('Plan de tareas'!$H$14&lt;=DATE(2026,11,15),'Plan de tareas'!$I$14&gt;=DATE(2026,11,9)),1,0)</f>
        <v>0</v>
      </c>
      <c r="N13" s="41">
        <f>IF(AND('Plan de tareas'!$H$14&lt;=DATE(2026,11,22),'Plan de tareas'!$I$14&gt;=DATE(2026,11,16)),1,0)</f>
        <v>0</v>
      </c>
      <c r="O13" s="41">
        <f>IF(AND('Plan de tareas'!$H$14&lt;=DATE(2026,11,29),'Plan de tareas'!$I$14&gt;=DATE(2026,11,23)),1,0)</f>
        <v>0</v>
      </c>
      <c r="P13" s="41">
        <f>IF(AND('Plan de tareas'!$H$14&lt;=DATE(2026,12,6),'Plan de tareas'!$I$14&gt;=DATE(2026,11,30)),1,0)</f>
        <v>0</v>
      </c>
      <c r="Q13" s="41">
        <f>IF(AND('Plan de tareas'!$H$14&lt;=DATE(2026,12,13),'Plan de tareas'!$I$14&gt;=DATE(2026,12,7)),1,0)</f>
        <v>0</v>
      </c>
      <c r="R13" s="41">
        <f>IF(AND('Plan de tareas'!$H$14&lt;=DATE(2026,12,20),'Plan de tareas'!$I$14&gt;=DATE(2026,12,14)),1,0)</f>
        <v>0</v>
      </c>
      <c r="S13" s="41">
        <f>IF(AND('Plan de tareas'!$H$14&lt;=DATE(2026,12,27),'Plan de tareas'!$I$14&gt;=DATE(2026,12,21)),1,0)</f>
        <v>0</v>
      </c>
      <c r="T13" s="41">
        <f>IF(AND('Plan de tareas'!$H$14&lt;=DATE(2027,1,3),'Plan de tareas'!$I$14&gt;=DATE(2026,12,28)),1,0)</f>
        <v>0</v>
      </c>
    </row>
    <row r="14" spans="1:20" x14ac:dyDescent="0.25">
      <c r="A14" s="42" t="s">
        <v>48</v>
      </c>
      <c r="B14" s="43" t="s">
        <v>49</v>
      </c>
      <c r="C14" s="44" t="s">
        <v>15</v>
      </c>
      <c r="D14" s="41">
        <f>IF(AND('Plan de tareas'!$H$15&lt;=DATE(2026,9,13),'Plan de tareas'!$I$15&gt;=DATE(2026,9,7)),1,0)</f>
        <v>0</v>
      </c>
      <c r="E14" s="41">
        <f>IF(AND('Plan de tareas'!$H$15&lt;=DATE(2026,9,20),'Plan de tareas'!$I$15&gt;=DATE(2026,9,14)),1,0)</f>
        <v>1</v>
      </c>
      <c r="F14" s="41">
        <f>IF(AND('Plan de tareas'!$H$15&lt;=DATE(2026,9,27),'Plan de tareas'!$I$15&gt;=DATE(2026,9,21)),1,0)</f>
        <v>0</v>
      </c>
      <c r="G14" s="41">
        <f>IF(AND('Plan de tareas'!$H$15&lt;=DATE(2026,10,4),'Plan de tareas'!$I$15&gt;=DATE(2026,9,28)),1,0)</f>
        <v>0</v>
      </c>
      <c r="H14" s="41">
        <f>IF(AND('Plan de tareas'!$H$15&lt;=DATE(2026,10,11),'Plan de tareas'!$I$15&gt;=DATE(2026,10,5)),1,0)</f>
        <v>0</v>
      </c>
      <c r="I14" s="41">
        <f>IF(AND('Plan de tareas'!$H$15&lt;=DATE(2026,10,18),'Plan de tareas'!$I$15&gt;=DATE(2026,10,12)),1,0)</f>
        <v>0</v>
      </c>
      <c r="J14" s="41">
        <f>IF(AND('Plan de tareas'!$H$15&lt;=DATE(2026,10,25),'Plan de tareas'!$I$15&gt;=DATE(2026,10,19)),1,0)</f>
        <v>0</v>
      </c>
      <c r="K14" s="41">
        <f>IF(AND('Plan de tareas'!$H$15&lt;=DATE(2026,11,1),'Plan de tareas'!$I$15&gt;=DATE(2026,10,26)),1,0)</f>
        <v>0</v>
      </c>
      <c r="L14" s="41">
        <f>IF(AND('Plan de tareas'!$H$15&lt;=DATE(2026,11,8),'Plan de tareas'!$I$15&gt;=DATE(2026,11,2)),1,0)</f>
        <v>0</v>
      </c>
      <c r="M14" s="41">
        <f>IF(AND('Plan de tareas'!$H$15&lt;=DATE(2026,11,15),'Plan de tareas'!$I$15&gt;=DATE(2026,11,9)),1,0)</f>
        <v>0</v>
      </c>
      <c r="N14" s="41">
        <f>IF(AND('Plan de tareas'!$H$15&lt;=DATE(2026,11,22),'Plan de tareas'!$I$15&gt;=DATE(2026,11,16)),1,0)</f>
        <v>0</v>
      </c>
      <c r="O14" s="41">
        <f>IF(AND('Plan de tareas'!$H$15&lt;=DATE(2026,11,29),'Plan de tareas'!$I$15&gt;=DATE(2026,11,23)),1,0)</f>
        <v>0</v>
      </c>
      <c r="P14" s="41">
        <f>IF(AND('Plan de tareas'!$H$15&lt;=DATE(2026,12,6),'Plan de tareas'!$I$15&gt;=DATE(2026,11,30)),1,0)</f>
        <v>0</v>
      </c>
      <c r="Q14" s="41">
        <f>IF(AND('Plan de tareas'!$H$15&lt;=DATE(2026,12,13),'Plan de tareas'!$I$15&gt;=DATE(2026,12,7)),1,0)</f>
        <v>0</v>
      </c>
      <c r="R14" s="41">
        <f>IF(AND('Plan de tareas'!$H$15&lt;=DATE(2026,12,20),'Plan de tareas'!$I$15&gt;=DATE(2026,12,14)),1,0)</f>
        <v>0</v>
      </c>
      <c r="S14" s="41">
        <f>IF(AND('Plan de tareas'!$H$15&lt;=DATE(2026,12,27),'Plan de tareas'!$I$15&gt;=DATE(2026,12,21)),1,0)</f>
        <v>0</v>
      </c>
      <c r="T14" s="41">
        <f>IF(AND('Plan de tareas'!$H$15&lt;=DATE(2027,1,3),'Plan de tareas'!$I$15&gt;=DATE(2026,12,28)),1,0)</f>
        <v>0</v>
      </c>
    </row>
    <row r="15" spans="1:20" x14ac:dyDescent="0.25">
      <c r="A15" s="42" t="s">
        <v>51</v>
      </c>
      <c r="B15" s="43" t="s">
        <v>52</v>
      </c>
      <c r="C15" s="44" t="s">
        <v>15</v>
      </c>
      <c r="D15" s="41">
        <f>IF(AND('Plan de tareas'!$H$16&lt;=DATE(2026,9,13),'Plan de tareas'!$I$16&gt;=DATE(2026,9,7)),1,0)</f>
        <v>0</v>
      </c>
      <c r="E15" s="41">
        <f>IF(AND('Plan de tareas'!$H$16&lt;=DATE(2026,9,20),'Plan de tareas'!$I$16&gt;=DATE(2026,9,14)),1,0)</f>
        <v>1</v>
      </c>
      <c r="F15" s="41">
        <f>IF(AND('Plan de tareas'!$H$16&lt;=DATE(2026,9,27),'Plan de tareas'!$I$16&gt;=DATE(2026,9,21)),1,0)</f>
        <v>0</v>
      </c>
      <c r="G15" s="41">
        <f>IF(AND('Plan de tareas'!$H$16&lt;=DATE(2026,10,4),'Plan de tareas'!$I$16&gt;=DATE(2026,9,28)),1,0)</f>
        <v>0</v>
      </c>
      <c r="H15" s="41">
        <f>IF(AND('Plan de tareas'!$H$16&lt;=DATE(2026,10,11),'Plan de tareas'!$I$16&gt;=DATE(2026,10,5)),1,0)</f>
        <v>0</v>
      </c>
      <c r="I15" s="41">
        <f>IF(AND('Plan de tareas'!$H$16&lt;=DATE(2026,10,18),'Plan de tareas'!$I$16&gt;=DATE(2026,10,12)),1,0)</f>
        <v>0</v>
      </c>
      <c r="J15" s="41">
        <f>IF(AND('Plan de tareas'!$H$16&lt;=DATE(2026,10,25),'Plan de tareas'!$I$16&gt;=DATE(2026,10,19)),1,0)</f>
        <v>0</v>
      </c>
      <c r="K15" s="41">
        <f>IF(AND('Plan de tareas'!$H$16&lt;=DATE(2026,11,1),'Plan de tareas'!$I$16&gt;=DATE(2026,10,26)),1,0)</f>
        <v>0</v>
      </c>
      <c r="L15" s="41">
        <f>IF(AND('Plan de tareas'!$H$16&lt;=DATE(2026,11,8),'Plan de tareas'!$I$16&gt;=DATE(2026,11,2)),1,0)</f>
        <v>0</v>
      </c>
      <c r="M15" s="41">
        <f>IF(AND('Plan de tareas'!$H$16&lt;=DATE(2026,11,15),'Plan de tareas'!$I$16&gt;=DATE(2026,11,9)),1,0)</f>
        <v>0</v>
      </c>
      <c r="N15" s="41">
        <f>IF(AND('Plan de tareas'!$H$16&lt;=DATE(2026,11,22),'Plan de tareas'!$I$16&gt;=DATE(2026,11,16)),1,0)</f>
        <v>0</v>
      </c>
      <c r="O15" s="41">
        <f>IF(AND('Plan de tareas'!$H$16&lt;=DATE(2026,11,29),'Plan de tareas'!$I$16&gt;=DATE(2026,11,23)),1,0)</f>
        <v>0</v>
      </c>
      <c r="P15" s="41">
        <f>IF(AND('Plan de tareas'!$H$16&lt;=DATE(2026,12,6),'Plan de tareas'!$I$16&gt;=DATE(2026,11,30)),1,0)</f>
        <v>0</v>
      </c>
      <c r="Q15" s="41">
        <f>IF(AND('Plan de tareas'!$H$16&lt;=DATE(2026,12,13),'Plan de tareas'!$I$16&gt;=DATE(2026,12,7)),1,0)</f>
        <v>0</v>
      </c>
      <c r="R15" s="41">
        <f>IF(AND('Plan de tareas'!$H$16&lt;=DATE(2026,12,20),'Plan de tareas'!$I$16&gt;=DATE(2026,12,14)),1,0)</f>
        <v>0</v>
      </c>
      <c r="S15" s="41">
        <f>IF(AND('Plan de tareas'!$H$16&lt;=DATE(2026,12,27),'Plan de tareas'!$I$16&gt;=DATE(2026,12,21)),1,0)</f>
        <v>0</v>
      </c>
      <c r="T15" s="41">
        <f>IF(AND('Plan de tareas'!$H$16&lt;=DATE(2027,1,3),'Plan de tareas'!$I$16&gt;=DATE(2026,12,28)),1,0)</f>
        <v>0</v>
      </c>
    </row>
    <row r="16" spans="1:20" x14ac:dyDescent="0.25">
      <c r="A16" s="42" t="s">
        <v>54</v>
      </c>
      <c r="B16" s="43" t="s">
        <v>55</v>
      </c>
      <c r="C16" s="44" t="s">
        <v>15</v>
      </c>
      <c r="D16" s="41">
        <f>IF(AND('Plan de tareas'!$H$17&lt;=DATE(2026,9,13),'Plan de tareas'!$I$17&gt;=DATE(2026,9,7)),1,0)</f>
        <v>0</v>
      </c>
      <c r="E16" s="41">
        <f>IF(AND('Plan de tareas'!$H$17&lt;=DATE(2026,9,20),'Plan de tareas'!$I$17&gt;=DATE(2026,9,14)),1,0)</f>
        <v>1</v>
      </c>
      <c r="F16" s="41">
        <f>IF(AND('Plan de tareas'!$H$17&lt;=DATE(2026,9,27),'Plan de tareas'!$I$17&gt;=DATE(2026,9,21)),1,0)</f>
        <v>1</v>
      </c>
      <c r="G16" s="41">
        <f>IF(AND('Plan de tareas'!$H$17&lt;=DATE(2026,10,4),'Plan de tareas'!$I$17&gt;=DATE(2026,9,28)),1,0)</f>
        <v>0</v>
      </c>
      <c r="H16" s="41">
        <f>IF(AND('Plan de tareas'!$H$17&lt;=DATE(2026,10,11),'Plan de tareas'!$I$17&gt;=DATE(2026,10,5)),1,0)</f>
        <v>0</v>
      </c>
      <c r="I16" s="41">
        <f>IF(AND('Plan de tareas'!$H$17&lt;=DATE(2026,10,18),'Plan de tareas'!$I$17&gt;=DATE(2026,10,12)),1,0)</f>
        <v>0</v>
      </c>
      <c r="J16" s="41">
        <f>IF(AND('Plan de tareas'!$H$17&lt;=DATE(2026,10,25),'Plan de tareas'!$I$17&gt;=DATE(2026,10,19)),1,0)</f>
        <v>0</v>
      </c>
      <c r="K16" s="41">
        <f>IF(AND('Plan de tareas'!$H$17&lt;=DATE(2026,11,1),'Plan de tareas'!$I$17&gt;=DATE(2026,10,26)),1,0)</f>
        <v>0</v>
      </c>
      <c r="L16" s="41">
        <f>IF(AND('Plan de tareas'!$H$17&lt;=DATE(2026,11,8),'Plan de tareas'!$I$17&gt;=DATE(2026,11,2)),1,0)</f>
        <v>0</v>
      </c>
      <c r="M16" s="41">
        <f>IF(AND('Plan de tareas'!$H$17&lt;=DATE(2026,11,15),'Plan de tareas'!$I$17&gt;=DATE(2026,11,9)),1,0)</f>
        <v>0</v>
      </c>
      <c r="N16" s="41">
        <f>IF(AND('Plan de tareas'!$H$17&lt;=DATE(2026,11,22),'Plan de tareas'!$I$17&gt;=DATE(2026,11,16)),1,0)</f>
        <v>0</v>
      </c>
      <c r="O16" s="41">
        <f>IF(AND('Plan de tareas'!$H$17&lt;=DATE(2026,11,29),'Plan de tareas'!$I$17&gt;=DATE(2026,11,23)),1,0)</f>
        <v>0</v>
      </c>
      <c r="P16" s="41">
        <f>IF(AND('Plan de tareas'!$H$17&lt;=DATE(2026,12,6),'Plan de tareas'!$I$17&gt;=DATE(2026,11,30)),1,0)</f>
        <v>0</v>
      </c>
      <c r="Q16" s="41">
        <f>IF(AND('Plan de tareas'!$H$17&lt;=DATE(2026,12,13),'Plan de tareas'!$I$17&gt;=DATE(2026,12,7)),1,0)</f>
        <v>0</v>
      </c>
      <c r="R16" s="41">
        <f>IF(AND('Plan de tareas'!$H$17&lt;=DATE(2026,12,20),'Plan de tareas'!$I$17&gt;=DATE(2026,12,14)),1,0)</f>
        <v>0</v>
      </c>
      <c r="S16" s="41">
        <f>IF(AND('Plan de tareas'!$H$17&lt;=DATE(2026,12,27),'Plan de tareas'!$I$17&gt;=DATE(2026,12,21)),1,0)</f>
        <v>0</v>
      </c>
      <c r="T16" s="41">
        <f>IF(AND('Plan de tareas'!$H$17&lt;=DATE(2027,1,3),'Plan de tareas'!$I$17&gt;=DATE(2026,12,28)),1,0)</f>
        <v>0</v>
      </c>
    </row>
    <row r="17" spans="1:20" x14ac:dyDescent="0.25">
      <c r="A17" s="45" t="s">
        <v>58</v>
      </c>
      <c r="B17" s="46" t="s">
        <v>59</v>
      </c>
      <c r="C17" s="47" t="s">
        <v>15</v>
      </c>
      <c r="D17" s="41">
        <f>IF(AND('Plan de tareas'!$H$18&lt;=DATE(2026,9,13),'Plan de tareas'!$I$18&gt;=DATE(2026,9,7)),1,0)</f>
        <v>0</v>
      </c>
      <c r="E17" s="41">
        <f>IF(AND('Plan de tareas'!$H$18&lt;=DATE(2026,9,20),'Plan de tareas'!$I$18&gt;=DATE(2026,9,14)),1,0)</f>
        <v>0</v>
      </c>
      <c r="F17" s="41">
        <f>IF(AND('Plan de tareas'!$H$18&lt;=DATE(2026,9,27),'Plan de tareas'!$I$18&gt;=DATE(2026,9,21)),1,0)</f>
        <v>1</v>
      </c>
      <c r="G17" s="41">
        <f>IF(AND('Plan de tareas'!$H$18&lt;=DATE(2026,10,4),'Plan de tareas'!$I$18&gt;=DATE(2026,9,28)),1,0)</f>
        <v>0</v>
      </c>
      <c r="H17" s="41">
        <f>IF(AND('Plan de tareas'!$H$18&lt;=DATE(2026,10,11),'Plan de tareas'!$I$18&gt;=DATE(2026,10,5)),1,0)</f>
        <v>0</v>
      </c>
      <c r="I17" s="41">
        <f>IF(AND('Plan de tareas'!$H$18&lt;=DATE(2026,10,18),'Plan de tareas'!$I$18&gt;=DATE(2026,10,12)),1,0)</f>
        <v>0</v>
      </c>
      <c r="J17" s="41">
        <f>IF(AND('Plan de tareas'!$H$18&lt;=DATE(2026,10,25),'Plan de tareas'!$I$18&gt;=DATE(2026,10,19)),1,0)</f>
        <v>0</v>
      </c>
      <c r="K17" s="41">
        <f>IF(AND('Plan de tareas'!$H$18&lt;=DATE(2026,11,1),'Plan de tareas'!$I$18&gt;=DATE(2026,10,26)),1,0)</f>
        <v>0</v>
      </c>
      <c r="L17" s="41">
        <f>IF(AND('Plan de tareas'!$H$18&lt;=DATE(2026,11,8),'Plan de tareas'!$I$18&gt;=DATE(2026,11,2)),1,0)</f>
        <v>0</v>
      </c>
      <c r="M17" s="41">
        <f>IF(AND('Plan de tareas'!$H$18&lt;=DATE(2026,11,15),'Plan de tareas'!$I$18&gt;=DATE(2026,11,9)),1,0)</f>
        <v>0</v>
      </c>
      <c r="N17" s="41">
        <f>IF(AND('Plan de tareas'!$H$18&lt;=DATE(2026,11,22),'Plan de tareas'!$I$18&gt;=DATE(2026,11,16)),1,0)</f>
        <v>0</v>
      </c>
      <c r="O17" s="41">
        <f>IF(AND('Plan de tareas'!$H$18&lt;=DATE(2026,11,29),'Plan de tareas'!$I$18&gt;=DATE(2026,11,23)),1,0)</f>
        <v>0</v>
      </c>
      <c r="P17" s="41">
        <f>IF(AND('Plan de tareas'!$H$18&lt;=DATE(2026,12,6),'Plan de tareas'!$I$18&gt;=DATE(2026,11,30)),1,0)</f>
        <v>0</v>
      </c>
      <c r="Q17" s="41">
        <f>IF(AND('Plan de tareas'!$H$18&lt;=DATE(2026,12,13),'Plan de tareas'!$I$18&gt;=DATE(2026,12,7)),1,0)</f>
        <v>0</v>
      </c>
      <c r="R17" s="41">
        <f>IF(AND('Plan de tareas'!$H$18&lt;=DATE(2026,12,20),'Plan de tareas'!$I$18&gt;=DATE(2026,12,14)),1,0)</f>
        <v>0</v>
      </c>
      <c r="S17" s="41">
        <f>IF(AND('Plan de tareas'!$H$18&lt;=DATE(2026,12,27),'Plan de tareas'!$I$18&gt;=DATE(2026,12,21)),1,0)</f>
        <v>0</v>
      </c>
      <c r="T17" s="41">
        <f>IF(AND('Plan de tareas'!$H$18&lt;=DATE(2027,1,3),'Plan de tareas'!$I$18&gt;=DATE(2026,12,28)),1,0)</f>
        <v>0</v>
      </c>
    </row>
    <row r="18" spans="1:20" x14ac:dyDescent="0.25">
      <c r="A18" s="45" t="s">
        <v>61</v>
      </c>
      <c r="B18" s="46" t="s">
        <v>62</v>
      </c>
      <c r="C18" s="47" t="s">
        <v>15</v>
      </c>
      <c r="D18" s="41">
        <f>IF(AND('Plan de tareas'!$H$19&lt;=DATE(2026,9,13),'Plan de tareas'!$I$19&gt;=DATE(2026,9,7)),1,0)</f>
        <v>0</v>
      </c>
      <c r="E18" s="41">
        <f>IF(AND('Plan de tareas'!$H$19&lt;=DATE(2026,9,20),'Plan de tareas'!$I$19&gt;=DATE(2026,9,14)),1,0)</f>
        <v>0</v>
      </c>
      <c r="F18" s="41">
        <f>IF(AND('Plan de tareas'!$H$19&lt;=DATE(2026,9,27),'Plan de tareas'!$I$19&gt;=DATE(2026,9,21)),1,0)</f>
        <v>1</v>
      </c>
      <c r="G18" s="41">
        <f>IF(AND('Plan de tareas'!$H$19&lt;=DATE(2026,10,4),'Plan de tareas'!$I$19&gt;=DATE(2026,9,28)),1,0)</f>
        <v>1</v>
      </c>
      <c r="H18" s="41">
        <f>IF(AND('Plan de tareas'!$H$19&lt;=DATE(2026,10,11),'Plan de tareas'!$I$19&gt;=DATE(2026,10,5)),1,0)</f>
        <v>0</v>
      </c>
      <c r="I18" s="41">
        <f>IF(AND('Plan de tareas'!$H$19&lt;=DATE(2026,10,18),'Plan de tareas'!$I$19&gt;=DATE(2026,10,12)),1,0)</f>
        <v>0</v>
      </c>
      <c r="J18" s="41">
        <f>IF(AND('Plan de tareas'!$H$19&lt;=DATE(2026,10,25),'Plan de tareas'!$I$19&gt;=DATE(2026,10,19)),1,0)</f>
        <v>0</v>
      </c>
      <c r="K18" s="41">
        <f>IF(AND('Plan de tareas'!$H$19&lt;=DATE(2026,11,1),'Plan de tareas'!$I$19&gt;=DATE(2026,10,26)),1,0)</f>
        <v>0</v>
      </c>
      <c r="L18" s="41">
        <f>IF(AND('Plan de tareas'!$H$19&lt;=DATE(2026,11,8),'Plan de tareas'!$I$19&gt;=DATE(2026,11,2)),1,0)</f>
        <v>0</v>
      </c>
      <c r="M18" s="41">
        <f>IF(AND('Plan de tareas'!$H$19&lt;=DATE(2026,11,15),'Plan de tareas'!$I$19&gt;=DATE(2026,11,9)),1,0)</f>
        <v>0</v>
      </c>
      <c r="N18" s="41">
        <f>IF(AND('Plan de tareas'!$H$19&lt;=DATE(2026,11,22),'Plan de tareas'!$I$19&gt;=DATE(2026,11,16)),1,0)</f>
        <v>0</v>
      </c>
      <c r="O18" s="41">
        <f>IF(AND('Plan de tareas'!$H$19&lt;=DATE(2026,11,29),'Plan de tareas'!$I$19&gt;=DATE(2026,11,23)),1,0)</f>
        <v>0</v>
      </c>
      <c r="P18" s="41">
        <f>IF(AND('Plan de tareas'!$H$19&lt;=DATE(2026,12,6),'Plan de tareas'!$I$19&gt;=DATE(2026,11,30)),1,0)</f>
        <v>0</v>
      </c>
      <c r="Q18" s="41">
        <f>IF(AND('Plan de tareas'!$H$19&lt;=DATE(2026,12,13),'Plan de tareas'!$I$19&gt;=DATE(2026,12,7)),1,0)</f>
        <v>0</v>
      </c>
      <c r="R18" s="41">
        <f>IF(AND('Plan de tareas'!$H$19&lt;=DATE(2026,12,20),'Plan de tareas'!$I$19&gt;=DATE(2026,12,14)),1,0)</f>
        <v>0</v>
      </c>
      <c r="S18" s="41">
        <f>IF(AND('Plan de tareas'!$H$19&lt;=DATE(2026,12,27),'Plan de tareas'!$I$19&gt;=DATE(2026,12,21)),1,0)</f>
        <v>0</v>
      </c>
      <c r="T18" s="41">
        <f>IF(AND('Plan de tareas'!$H$19&lt;=DATE(2027,1,3),'Plan de tareas'!$I$19&gt;=DATE(2026,12,28)),1,0)</f>
        <v>0</v>
      </c>
    </row>
    <row r="19" spans="1:20" x14ac:dyDescent="0.25">
      <c r="A19" s="45" t="s">
        <v>64</v>
      </c>
      <c r="B19" s="46" t="s">
        <v>65</v>
      </c>
      <c r="C19" s="47" t="s">
        <v>15</v>
      </c>
      <c r="D19" s="41">
        <f>IF(AND('Plan de tareas'!$H$20&lt;=DATE(2026,9,13),'Plan de tareas'!$I$20&gt;=DATE(2026,9,7)),1,0)</f>
        <v>0</v>
      </c>
      <c r="E19" s="41">
        <f>IF(AND('Plan de tareas'!$H$20&lt;=DATE(2026,9,20),'Plan de tareas'!$I$20&gt;=DATE(2026,9,14)),1,0)</f>
        <v>0</v>
      </c>
      <c r="F19" s="41">
        <f>IF(AND('Plan de tareas'!$H$20&lt;=DATE(2026,9,27),'Plan de tareas'!$I$20&gt;=DATE(2026,9,21)),1,0)</f>
        <v>0</v>
      </c>
      <c r="G19" s="41">
        <f>IF(AND('Plan de tareas'!$H$20&lt;=DATE(2026,10,4),'Plan de tareas'!$I$20&gt;=DATE(2026,9,28)),1,0)</f>
        <v>1</v>
      </c>
      <c r="H19" s="41">
        <f>IF(AND('Plan de tareas'!$H$20&lt;=DATE(2026,10,11),'Plan de tareas'!$I$20&gt;=DATE(2026,10,5)),1,0)</f>
        <v>0</v>
      </c>
      <c r="I19" s="41">
        <f>IF(AND('Plan de tareas'!$H$20&lt;=DATE(2026,10,18),'Plan de tareas'!$I$20&gt;=DATE(2026,10,12)),1,0)</f>
        <v>0</v>
      </c>
      <c r="J19" s="41">
        <f>IF(AND('Plan de tareas'!$H$20&lt;=DATE(2026,10,25),'Plan de tareas'!$I$20&gt;=DATE(2026,10,19)),1,0)</f>
        <v>0</v>
      </c>
      <c r="K19" s="41">
        <f>IF(AND('Plan de tareas'!$H$20&lt;=DATE(2026,11,1),'Plan de tareas'!$I$20&gt;=DATE(2026,10,26)),1,0)</f>
        <v>0</v>
      </c>
      <c r="L19" s="41">
        <f>IF(AND('Plan de tareas'!$H$20&lt;=DATE(2026,11,8),'Plan de tareas'!$I$20&gt;=DATE(2026,11,2)),1,0)</f>
        <v>0</v>
      </c>
      <c r="M19" s="41">
        <f>IF(AND('Plan de tareas'!$H$20&lt;=DATE(2026,11,15),'Plan de tareas'!$I$20&gt;=DATE(2026,11,9)),1,0)</f>
        <v>0</v>
      </c>
      <c r="N19" s="41">
        <f>IF(AND('Plan de tareas'!$H$20&lt;=DATE(2026,11,22),'Plan de tareas'!$I$20&gt;=DATE(2026,11,16)),1,0)</f>
        <v>0</v>
      </c>
      <c r="O19" s="41">
        <f>IF(AND('Plan de tareas'!$H$20&lt;=DATE(2026,11,29),'Plan de tareas'!$I$20&gt;=DATE(2026,11,23)),1,0)</f>
        <v>0</v>
      </c>
      <c r="P19" s="41">
        <f>IF(AND('Plan de tareas'!$H$20&lt;=DATE(2026,12,6),'Plan de tareas'!$I$20&gt;=DATE(2026,11,30)),1,0)</f>
        <v>0</v>
      </c>
      <c r="Q19" s="41">
        <f>IF(AND('Plan de tareas'!$H$20&lt;=DATE(2026,12,13),'Plan de tareas'!$I$20&gt;=DATE(2026,12,7)),1,0)</f>
        <v>0</v>
      </c>
      <c r="R19" s="41">
        <f>IF(AND('Plan de tareas'!$H$20&lt;=DATE(2026,12,20),'Plan de tareas'!$I$20&gt;=DATE(2026,12,14)),1,0)</f>
        <v>0</v>
      </c>
      <c r="S19" s="41">
        <f>IF(AND('Plan de tareas'!$H$20&lt;=DATE(2026,12,27),'Plan de tareas'!$I$20&gt;=DATE(2026,12,21)),1,0)</f>
        <v>0</v>
      </c>
      <c r="T19" s="41">
        <f>IF(AND('Plan de tareas'!$H$20&lt;=DATE(2027,1,3),'Plan de tareas'!$I$20&gt;=DATE(2026,12,28)),1,0)</f>
        <v>0</v>
      </c>
    </row>
    <row r="20" spans="1:20" x14ac:dyDescent="0.25">
      <c r="A20" s="48" t="s">
        <v>67</v>
      </c>
      <c r="B20" s="49" t="s">
        <v>68</v>
      </c>
      <c r="C20" s="50" t="s">
        <v>15</v>
      </c>
      <c r="D20" s="41">
        <f>IF(AND('Plan de tareas'!$H$21&lt;=DATE(2026,9,13),'Plan de tareas'!$I$21&gt;=DATE(2026,9,7)),1,0)</f>
        <v>0</v>
      </c>
      <c r="E20" s="41">
        <f>IF(AND('Plan de tareas'!$H$21&lt;=DATE(2026,9,20),'Plan de tareas'!$I$21&gt;=DATE(2026,9,14)),1,0)</f>
        <v>0</v>
      </c>
      <c r="F20" s="41">
        <f>IF(AND('Plan de tareas'!$H$21&lt;=DATE(2026,9,27),'Plan de tareas'!$I$21&gt;=DATE(2026,9,21)),1,0)</f>
        <v>0</v>
      </c>
      <c r="G20" s="41">
        <f>IF(AND('Plan de tareas'!$H$21&lt;=DATE(2026,10,4),'Plan de tareas'!$I$21&gt;=DATE(2026,9,28)),1,0)</f>
        <v>0</v>
      </c>
      <c r="H20" s="41">
        <f>IF(AND('Plan de tareas'!$H$21&lt;=DATE(2026,10,11),'Plan de tareas'!$I$21&gt;=DATE(2026,10,5)),1,0)</f>
        <v>1</v>
      </c>
      <c r="I20" s="41">
        <f>IF(AND('Plan de tareas'!$H$21&lt;=DATE(2026,10,18),'Plan de tareas'!$I$21&gt;=DATE(2026,10,12)),1,0)</f>
        <v>0</v>
      </c>
      <c r="J20" s="41">
        <f>IF(AND('Plan de tareas'!$H$21&lt;=DATE(2026,10,25),'Plan de tareas'!$I$21&gt;=DATE(2026,10,19)),1,0)</f>
        <v>0</v>
      </c>
      <c r="K20" s="41">
        <f>IF(AND('Plan de tareas'!$H$21&lt;=DATE(2026,11,1),'Plan de tareas'!$I$21&gt;=DATE(2026,10,26)),1,0)</f>
        <v>0</v>
      </c>
      <c r="L20" s="41">
        <f>IF(AND('Plan de tareas'!$H$21&lt;=DATE(2026,11,8),'Plan de tareas'!$I$21&gt;=DATE(2026,11,2)),1,0)</f>
        <v>0</v>
      </c>
      <c r="M20" s="41">
        <f>IF(AND('Plan de tareas'!$H$21&lt;=DATE(2026,11,15),'Plan de tareas'!$I$21&gt;=DATE(2026,11,9)),1,0)</f>
        <v>0</v>
      </c>
      <c r="N20" s="41">
        <f>IF(AND('Plan de tareas'!$H$21&lt;=DATE(2026,11,22),'Plan de tareas'!$I$21&gt;=DATE(2026,11,16)),1,0)</f>
        <v>0</v>
      </c>
      <c r="O20" s="41">
        <f>IF(AND('Plan de tareas'!$H$21&lt;=DATE(2026,11,29),'Plan de tareas'!$I$21&gt;=DATE(2026,11,23)),1,0)</f>
        <v>0</v>
      </c>
      <c r="P20" s="41">
        <f>IF(AND('Plan de tareas'!$H$21&lt;=DATE(2026,12,6),'Plan de tareas'!$I$21&gt;=DATE(2026,11,30)),1,0)</f>
        <v>0</v>
      </c>
      <c r="Q20" s="41">
        <f>IF(AND('Plan de tareas'!$H$21&lt;=DATE(2026,12,13),'Plan de tareas'!$I$21&gt;=DATE(2026,12,7)),1,0)</f>
        <v>0</v>
      </c>
      <c r="R20" s="41">
        <f>IF(AND('Plan de tareas'!$H$21&lt;=DATE(2026,12,20),'Plan de tareas'!$I$21&gt;=DATE(2026,12,14)),1,0)</f>
        <v>0</v>
      </c>
      <c r="S20" s="41">
        <f>IF(AND('Plan de tareas'!$H$21&lt;=DATE(2026,12,27),'Plan de tareas'!$I$21&gt;=DATE(2026,12,21)),1,0)</f>
        <v>0</v>
      </c>
      <c r="T20" s="41">
        <f>IF(AND('Plan de tareas'!$H$21&lt;=DATE(2027,1,3),'Plan de tareas'!$I$21&gt;=DATE(2026,12,28)),1,0)</f>
        <v>0</v>
      </c>
    </row>
    <row r="21" spans="1:20" x14ac:dyDescent="0.25">
      <c r="A21" s="48" t="s">
        <v>71</v>
      </c>
      <c r="B21" s="49" t="s">
        <v>72</v>
      </c>
      <c r="C21" s="50" t="s">
        <v>15</v>
      </c>
      <c r="D21" s="41">
        <f>IF(AND('Plan de tareas'!$H$22&lt;=DATE(2026,9,13),'Plan de tareas'!$I$22&gt;=DATE(2026,9,7)),1,0)</f>
        <v>0</v>
      </c>
      <c r="E21" s="41">
        <f>IF(AND('Plan de tareas'!$H$22&lt;=DATE(2026,9,20),'Plan de tareas'!$I$22&gt;=DATE(2026,9,14)),1,0)</f>
        <v>0</v>
      </c>
      <c r="F21" s="41">
        <f>IF(AND('Plan de tareas'!$H$22&lt;=DATE(2026,9,27),'Plan de tareas'!$I$22&gt;=DATE(2026,9,21)),1,0)</f>
        <v>0</v>
      </c>
      <c r="G21" s="41">
        <f>IF(AND('Plan de tareas'!$H$22&lt;=DATE(2026,10,4),'Plan de tareas'!$I$22&gt;=DATE(2026,9,28)),1,0)</f>
        <v>0</v>
      </c>
      <c r="H21" s="41">
        <f>IF(AND('Plan de tareas'!$H$22&lt;=DATE(2026,10,11),'Plan de tareas'!$I$22&gt;=DATE(2026,10,5)),1,0)</f>
        <v>1</v>
      </c>
      <c r="I21" s="41">
        <f>IF(AND('Plan de tareas'!$H$22&lt;=DATE(2026,10,18),'Plan de tareas'!$I$22&gt;=DATE(2026,10,12)),1,0)</f>
        <v>0</v>
      </c>
      <c r="J21" s="41">
        <f>IF(AND('Plan de tareas'!$H$22&lt;=DATE(2026,10,25),'Plan de tareas'!$I$22&gt;=DATE(2026,10,19)),1,0)</f>
        <v>0</v>
      </c>
      <c r="K21" s="41">
        <f>IF(AND('Plan de tareas'!$H$22&lt;=DATE(2026,11,1),'Plan de tareas'!$I$22&gt;=DATE(2026,10,26)),1,0)</f>
        <v>0</v>
      </c>
      <c r="L21" s="41">
        <f>IF(AND('Plan de tareas'!$H$22&lt;=DATE(2026,11,8),'Plan de tareas'!$I$22&gt;=DATE(2026,11,2)),1,0)</f>
        <v>0</v>
      </c>
      <c r="M21" s="41">
        <f>IF(AND('Plan de tareas'!$H$22&lt;=DATE(2026,11,15),'Plan de tareas'!$I$22&gt;=DATE(2026,11,9)),1,0)</f>
        <v>0</v>
      </c>
      <c r="N21" s="41">
        <f>IF(AND('Plan de tareas'!$H$22&lt;=DATE(2026,11,22),'Plan de tareas'!$I$22&gt;=DATE(2026,11,16)),1,0)</f>
        <v>0</v>
      </c>
      <c r="O21" s="41">
        <f>IF(AND('Plan de tareas'!$H$22&lt;=DATE(2026,11,29),'Plan de tareas'!$I$22&gt;=DATE(2026,11,23)),1,0)</f>
        <v>0</v>
      </c>
      <c r="P21" s="41">
        <f>IF(AND('Plan de tareas'!$H$22&lt;=DATE(2026,12,6),'Plan de tareas'!$I$22&gt;=DATE(2026,11,30)),1,0)</f>
        <v>0</v>
      </c>
      <c r="Q21" s="41">
        <f>IF(AND('Plan de tareas'!$H$22&lt;=DATE(2026,12,13),'Plan de tareas'!$I$22&gt;=DATE(2026,12,7)),1,0)</f>
        <v>0</v>
      </c>
      <c r="R21" s="41">
        <f>IF(AND('Plan de tareas'!$H$22&lt;=DATE(2026,12,20),'Plan de tareas'!$I$22&gt;=DATE(2026,12,14)),1,0)</f>
        <v>0</v>
      </c>
      <c r="S21" s="41">
        <f>IF(AND('Plan de tareas'!$H$22&lt;=DATE(2026,12,27),'Plan de tareas'!$I$22&gt;=DATE(2026,12,21)),1,0)</f>
        <v>0</v>
      </c>
      <c r="T21" s="41">
        <f>IF(AND('Plan de tareas'!$H$22&lt;=DATE(2027,1,3),'Plan de tareas'!$I$22&gt;=DATE(2026,12,28)),1,0)</f>
        <v>0</v>
      </c>
    </row>
    <row r="22" spans="1:20" x14ac:dyDescent="0.25">
      <c r="A22" s="48" t="s">
        <v>74</v>
      </c>
      <c r="B22" s="49" t="s">
        <v>75</v>
      </c>
      <c r="C22" s="50" t="s">
        <v>15</v>
      </c>
      <c r="D22" s="41">
        <f>IF(AND('Plan de tareas'!$H$23&lt;=DATE(2026,9,13),'Plan de tareas'!$I$23&gt;=DATE(2026,9,7)),1,0)</f>
        <v>0</v>
      </c>
      <c r="E22" s="41">
        <f>IF(AND('Plan de tareas'!$H$23&lt;=DATE(2026,9,20),'Plan de tareas'!$I$23&gt;=DATE(2026,9,14)),1,0)</f>
        <v>0</v>
      </c>
      <c r="F22" s="41">
        <f>IF(AND('Plan de tareas'!$H$23&lt;=DATE(2026,9,27),'Plan de tareas'!$I$23&gt;=DATE(2026,9,21)),1,0)</f>
        <v>0</v>
      </c>
      <c r="G22" s="41">
        <f>IF(AND('Plan de tareas'!$H$23&lt;=DATE(2026,10,4),'Plan de tareas'!$I$23&gt;=DATE(2026,9,28)),1,0)</f>
        <v>0</v>
      </c>
      <c r="H22" s="41">
        <f>IF(AND('Plan de tareas'!$H$23&lt;=DATE(2026,10,11),'Plan de tareas'!$I$23&gt;=DATE(2026,10,5)),1,0)</f>
        <v>1</v>
      </c>
      <c r="I22" s="41">
        <f>IF(AND('Plan de tareas'!$H$23&lt;=DATE(2026,10,18),'Plan de tareas'!$I$23&gt;=DATE(2026,10,12)),1,0)</f>
        <v>1</v>
      </c>
      <c r="J22" s="41">
        <f>IF(AND('Plan de tareas'!$H$23&lt;=DATE(2026,10,25),'Plan de tareas'!$I$23&gt;=DATE(2026,10,19)),1,0)</f>
        <v>0</v>
      </c>
      <c r="K22" s="41">
        <f>IF(AND('Plan de tareas'!$H$23&lt;=DATE(2026,11,1),'Plan de tareas'!$I$23&gt;=DATE(2026,10,26)),1,0)</f>
        <v>0</v>
      </c>
      <c r="L22" s="41">
        <f>IF(AND('Plan de tareas'!$H$23&lt;=DATE(2026,11,8),'Plan de tareas'!$I$23&gt;=DATE(2026,11,2)),1,0)</f>
        <v>0</v>
      </c>
      <c r="M22" s="41">
        <f>IF(AND('Plan de tareas'!$H$23&lt;=DATE(2026,11,15),'Plan de tareas'!$I$23&gt;=DATE(2026,11,9)),1,0)</f>
        <v>0</v>
      </c>
      <c r="N22" s="41">
        <f>IF(AND('Plan de tareas'!$H$23&lt;=DATE(2026,11,22),'Plan de tareas'!$I$23&gt;=DATE(2026,11,16)),1,0)</f>
        <v>0</v>
      </c>
      <c r="O22" s="41">
        <f>IF(AND('Plan de tareas'!$H$23&lt;=DATE(2026,11,29),'Plan de tareas'!$I$23&gt;=DATE(2026,11,23)),1,0)</f>
        <v>0</v>
      </c>
      <c r="P22" s="41">
        <f>IF(AND('Plan de tareas'!$H$23&lt;=DATE(2026,12,6),'Plan de tareas'!$I$23&gt;=DATE(2026,11,30)),1,0)</f>
        <v>0</v>
      </c>
      <c r="Q22" s="41">
        <f>IF(AND('Plan de tareas'!$H$23&lt;=DATE(2026,12,13),'Plan de tareas'!$I$23&gt;=DATE(2026,12,7)),1,0)</f>
        <v>0</v>
      </c>
      <c r="R22" s="41">
        <f>IF(AND('Plan de tareas'!$H$23&lt;=DATE(2026,12,20),'Plan de tareas'!$I$23&gt;=DATE(2026,12,14)),1,0)</f>
        <v>0</v>
      </c>
      <c r="S22" s="41">
        <f>IF(AND('Plan de tareas'!$H$23&lt;=DATE(2026,12,27),'Plan de tareas'!$I$23&gt;=DATE(2026,12,21)),1,0)</f>
        <v>0</v>
      </c>
      <c r="T22" s="41">
        <f>IF(AND('Plan de tareas'!$H$23&lt;=DATE(2027,1,3),'Plan de tareas'!$I$23&gt;=DATE(2026,12,28)),1,0)</f>
        <v>0</v>
      </c>
    </row>
    <row r="23" spans="1:20" x14ac:dyDescent="0.25">
      <c r="A23" s="48" t="s">
        <v>77</v>
      </c>
      <c r="B23" s="49" t="s">
        <v>78</v>
      </c>
      <c r="C23" s="50" t="s">
        <v>15</v>
      </c>
      <c r="D23" s="41">
        <f>IF(AND('Plan de tareas'!$H$24&lt;=DATE(2026,9,13),'Plan de tareas'!$I$24&gt;=DATE(2026,9,7)),1,0)</f>
        <v>0</v>
      </c>
      <c r="E23" s="41">
        <f>IF(AND('Plan de tareas'!$H$24&lt;=DATE(2026,9,20),'Plan de tareas'!$I$24&gt;=DATE(2026,9,14)),1,0)</f>
        <v>0</v>
      </c>
      <c r="F23" s="41">
        <f>IF(AND('Plan de tareas'!$H$24&lt;=DATE(2026,9,27),'Plan de tareas'!$I$24&gt;=DATE(2026,9,21)),1,0)</f>
        <v>0</v>
      </c>
      <c r="G23" s="41">
        <f>IF(AND('Plan de tareas'!$H$24&lt;=DATE(2026,10,4),'Plan de tareas'!$I$24&gt;=DATE(2026,9,28)),1,0)</f>
        <v>0</v>
      </c>
      <c r="H23" s="41">
        <f>IF(AND('Plan de tareas'!$H$24&lt;=DATE(2026,10,11),'Plan de tareas'!$I$24&gt;=DATE(2026,10,5)),1,0)</f>
        <v>0</v>
      </c>
      <c r="I23" s="41">
        <f>IF(AND('Plan de tareas'!$H$24&lt;=DATE(2026,10,18),'Plan de tareas'!$I$24&gt;=DATE(2026,10,12)),1,0)</f>
        <v>1</v>
      </c>
      <c r="J23" s="41">
        <f>IF(AND('Plan de tareas'!$H$24&lt;=DATE(2026,10,25),'Plan de tareas'!$I$24&gt;=DATE(2026,10,19)),1,0)</f>
        <v>0</v>
      </c>
      <c r="K23" s="41">
        <f>IF(AND('Plan de tareas'!$H$24&lt;=DATE(2026,11,1),'Plan de tareas'!$I$24&gt;=DATE(2026,10,26)),1,0)</f>
        <v>0</v>
      </c>
      <c r="L23" s="41">
        <f>IF(AND('Plan de tareas'!$H$24&lt;=DATE(2026,11,8),'Plan de tareas'!$I$24&gt;=DATE(2026,11,2)),1,0)</f>
        <v>0</v>
      </c>
      <c r="M23" s="41">
        <f>IF(AND('Plan de tareas'!$H$24&lt;=DATE(2026,11,15),'Plan de tareas'!$I$24&gt;=DATE(2026,11,9)),1,0)</f>
        <v>0</v>
      </c>
      <c r="N23" s="41">
        <f>IF(AND('Plan de tareas'!$H$24&lt;=DATE(2026,11,22),'Plan de tareas'!$I$24&gt;=DATE(2026,11,16)),1,0)</f>
        <v>0</v>
      </c>
      <c r="O23" s="41">
        <f>IF(AND('Plan de tareas'!$H$24&lt;=DATE(2026,11,29),'Plan de tareas'!$I$24&gt;=DATE(2026,11,23)),1,0)</f>
        <v>0</v>
      </c>
      <c r="P23" s="41">
        <f>IF(AND('Plan de tareas'!$H$24&lt;=DATE(2026,12,6),'Plan de tareas'!$I$24&gt;=DATE(2026,11,30)),1,0)</f>
        <v>0</v>
      </c>
      <c r="Q23" s="41">
        <f>IF(AND('Plan de tareas'!$H$24&lt;=DATE(2026,12,13),'Plan de tareas'!$I$24&gt;=DATE(2026,12,7)),1,0)</f>
        <v>0</v>
      </c>
      <c r="R23" s="41">
        <f>IF(AND('Plan de tareas'!$H$24&lt;=DATE(2026,12,20),'Plan de tareas'!$I$24&gt;=DATE(2026,12,14)),1,0)</f>
        <v>0</v>
      </c>
      <c r="S23" s="41">
        <f>IF(AND('Plan de tareas'!$H$24&lt;=DATE(2026,12,27),'Plan de tareas'!$I$24&gt;=DATE(2026,12,21)),1,0)</f>
        <v>0</v>
      </c>
      <c r="T23" s="41">
        <f>IF(AND('Plan de tareas'!$H$24&lt;=DATE(2027,1,3),'Plan de tareas'!$I$24&gt;=DATE(2026,12,28)),1,0)</f>
        <v>0</v>
      </c>
    </row>
    <row r="24" spans="1:20" x14ac:dyDescent="0.25">
      <c r="A24" s="48" t="s">
        <v>79</v>
      </c>
      <c r="B24" s="49" t="s">
        <v>80</v>
      </c>
      <c r="C24" s="50" t="s">
        <v>15</v>
      </c>
      <c r="D24" s="41">
        <f>IF(AND('Plan de tareas'!$H$25&lt;=DATE(2026,9,13),'Plan de tareas'!$I$25&gt;=DATE(2026,9,7)),1,0)</f>
        <v>0</v>
      </c>
      <c r="E24" s="41">
        <f>IF(AND('Plan de tareas'!$H$25&lt;=DATE(2026,9,20),'Plan de tareas'!$I$25&gt;=DATE(2026,9,14)),1,0)</f>
        <v>0</v>
      </c>
      <c r="F24" s="41">
        <f>IF(AND('Plan de tareas'!$H$25&lt;=DATE(2026,9,27),'Plan de tareas'!$I$25&gt;=DATE(2026,9,21)),1,0)</f>
        <v>0</v>
      </c>
      <c r="G24" s="41">
        <f>IF(AND('Plan de tareas'!$H$25&lt;=DATE(2026,10,4),'Plan de tareas'!$I$25&gt;=DATE(2026,9,28)),1,0)</f>
        <v>0</v>
      </c>
      <c r="H24" s="41">
        <f>IF(AND('Plan de tareas'!$H$25&lt;=DATE(2026,10,11),'Plan de tareas'!$I$25&gt;=DATE(2026,10,5)),1,0)</f>
        <v>0</v>
      </c>
      <c r="I24" s="41">
        <f>IF(AND('Plan de tareas'!$H$25&lt;=DATE(2026,10,18),'Plan de tareas'!$I$25&gt;=DATE(2026,10,12)),1,0)</f>
        <v>1</v>
      </c>
      <c r="J24" s="41">
        <f>IF(AND('Plan de tareas'!$H$25&lt;=DATE(2026,10,25),'Plan de tareas'!$I$25&gt;=DATE(2026,10,19)),1,0)</f>
        <v>1</v>
      </c>
      <c r="K24" s="41">
        <f>IF(AND('Plan de tareas'!$H$25&lt;=DATE(2026,11,1),'Plan de tareas'!$I$25&gt;=DATE(2026,10,26)),1,0)</f>
        <v>0</v>
      </c>
      <c r="L24" s="41">
        <f>IF(AND('Plan de tareas'!$H$25&lt;=DATE(2026,11,8),'Plan de tareas'!$I$25&gt;=DATE(2026,11,2)),1,0)</f>
        <v>0</v>
      </c>
      <c r="M24" s="41">
        <f>IF(AND('Plan de tareas'!$H$25&lt;=DATE(2026,11,15),'Plan de tareas'!$I$25&gt;=DATE(2026,11,9)),1,0)</f>
        <v>0</v>
      </c>
      <c r="N24" s="41">
        <f>IF(AND('Plan de tareas'!$H$25&lt;=DATE(2026,11,22),'Plan de tareas'!$I$25&gt;=DATE(2026,11,16)),1,0)</f>
        <v>0</v>
      </c>
      <c r="O24" s="41">
        <f>IF(AND('Plan de tareas'!$H$25&lt;=DATE(2026,11,29),'Plan de tareas'!$I$25&gt;=DATE(2026,11,23)),1,0)</f>
        <v>0</v>
      </c>
      <c r="P24" s="41">
        <f>IF(AND('Plan de tareas'!$H$25&lt;=DATE(2026,12,6),'Plan de tareas'!$I$25&gt;=DATE(2026,11,30)),1,0)</f>
        <v>0</v>
      </c>
      <c r="Q24" s="41">
        <f>IF(AND('Plan de tareas'!$H$25&lt;=DATE(2026,12,13),'Plan de tareas'!$I$25&gt;=DATE(2026,12,7)),1,0)</f>
        <v>0</v>
      </c>
      <c r="R24" s="41">
        <f>IF(AND('Plan de tareas'!$H$25&lt;=DATE(2026,12,20),'Plan de tareas'!$I$25&gt;=DATE(2026,12,14)),1,0)</f>
        <v>0</v>
      </c>
      <c r="S24" s="41">
        <f>IF(AND('Plan de tareas'!$H$25&lt;=DATE(2026,12,27),'Plan de tareas'!$I$25&gt;=DATE(2026,12,21)),1,0)</f>
        <v>0</v>
      </c>
      <c r="T24" s="41">
        <f>IF(AND('Plan de tareas'!$H$25&lt;=DATE(2027,1,3),'Plan de tareas'!$I$25&gt;=DATE(2026,12,28)),1,0)</f>
        <v>0</v>
      </c>
    </row>
    <row r="25" spans="1:20" x14ac:dyDescent="0.25">
      <c r="A25" s="48" t="s">
        <v>82</v>
      </c>
      <c r="B25" s="49" t="s">
        <v>83</v>
      </c>
      <c r="C25" s="50" t="s">
        <v>15</v>
      </c>
      <c r="D25" s="41">
        <f>IF(AND('Plan de tareas'!$H$26&lt;=DATE(2026,9,13),'Plan de tareas'!$I$26&gt;=DATE(2026,9,7)),1,0)</f>
        <v>0</v>
      </c>
      <c r="E25" s="41">
        <f>IF(AND('Plan de tareas'!$H$26&lt;=DATE(2026,9,20),'Plan de tareas'!$I$26&gt;=DATE(2026,9,14)),1,0)</f>
        <v>0</v>
      </c>
      <c r="F25" s="41">
        <f>IF(AND('Plan de tareas'!$H$26&lt;=DATE(2026,9,27),'Plan de tareas'!$I$26&gt;=DATE(2026,9,21)),1,0)</f>
        <v>0</v>
      </c>
      <c r="G25" s="41">
        <f>IF(AND('Plan de tareas'!$H$26&lt;=DATE(2026,10,4),'Plan de tareas'!$I$26&gt;=DATE(2026,9,28)),1,0)</f>
        <v>0</v>
      </c>
      <c r="H25" s="41">
        <f>IF(AND('Plan de tareas'!$H$26&lt;=DATE(2026,10,11),'Plan de tareas'!$I$26&gt;=DATE(2026,10,5)),1,0)</f>
        <v>0</v>
      </c>
      <c r="I25" s="41">
        <f>IF(AND('Plan de tareas'!$H$26&lt;=DATE(2026,10,18),'Plan de tareas'!$I$26&gt;=DATE(2026,10,12)),1,0)</f>
        <v>0</v>
      </c>
      <c r="J25" s="41">
        <f>IF(AND('Plan de tareas'!$H$26&lt;=DATE(2026,10,25),'Plan de tareas'!$I$26&gt;=DATE(2026,10,19)),1,0)</f>
        <v>1</v>
      </c>
      <c r="K25" s="41">
        <f>IF(AND('Plan de tareas'!$H$26&lt;=DATE(2026,11,1),'Plan de tareas'!$I$26&gt;=DATE(2026,10,26)),1,0)</f>
        <v>0</v>
      </c>
      <c r="L25" s="41">
        <f>IF(AND('Plan de tareas'!$H$26&lt;=DATE(2026,11,8),'Plan de tareas'!$I$26&gt;=DATE(2026,11,2)),1,0)</f>
        <v>0</v>
      </c>
      <c r="M25" s="41">
        <f>IF(AND('Plan de tareas'!$H$26&lt;=DATE(2026,11,15),'Plan de tareas'!$I$26&gt;=DATE(2026,11,9)),1,0)</f>
        <v>0</v>
      </c>
      <c r="N25" s="41">
        <f>IF(AND('Plan de tareas'!$H$26&lt;=DATE(2026,11,22),'Plan de tareas'!$I$26&gt;=DATE(2026,11,16)),1,0)</f>
        <v>0</v>
      </c>
      <c r="O25" s="41">
        <f>IF(AND('Plan de tareas'!$H$26&lt;=DATE(2026,11,29),'Plan de tareas'!$I$26&gt;=DATE(2026,11,23)),1,0)</f>
        <v>0</v>
      </c>
      <c r="P25" s="41">
        <f>IF(AND('Plan de tareas'!$H$26&lt;=DATE(2026,12,6),'Plan de tareas'!$I$26&gt;=DATE(2026,11,30)),1,0)</f>
        <v>0</v>
      </c>
      <c r="Q25" s="41">
        <f>IF(AND('Plan de tareas'!$H$26&lt;=DATE(2026,12,13),'Plan de tareas'!$I$26&gt;=DATE(2026,12,7)),1,0)</f>
        <v>0</v>
      </c>
      <c r="R25" s="41">
        <f>IF(AND('Plan de tareas'!$H$26&lt;=DATE(2026,12,20),'Plan de tareas'!$I$26&gt;=DATE(2026,12,14)),1,0)</f>
        <v>0</v>
      </c>
      <c r="S25" s="41">
        <f>IF(AND('Plan de tareas'!$H$26&lt;=DATE(2026,12,27),'Plan de tareas'!$I$26&gt;=DATE(2026,12,21)),1,0)</f>
        <v>0</v>
      </c>
      <c r="T25" s="41">
        <f>IF(AND('Plan de tareas'!$H$26&lt;=DATE(2027,1,3),'Plan de tareas'!$I$26&gt;=DATE(2026,12,28)),1,0)</f>
        <v>0</v>
      </c>
    </row>
    <row r="26" spans="1:20" x14ac:dyDescent="0.25">
      <c r="A26" s="48" t="s">
        <v>84</v>
      </c>
      <c r="B26" s="49" t="s">
        <v>85</v>
      </c>
      <c r="C26" s="50" t="s">
        <v>15</v>
      </c>
      <c r="D26" s="41">
        <f>IF(AND('Plan de tareas'!$H$27&lt;=DATE(2026,9,13),'Plan de tareas'!$I$27&gt;=DATE(2026,9,7)),1,0)</f>
        <v>0</v>
      </c>
      <c r="E26" s="41">
        <f>IF(AND('Plan de tareas'!$H$27&lt;=DATE(2026,9,20),'Plan de tareas'!$I$27&gt;=DATE(2026,9,14)),1,0)</f>
        <v>0</v>
      </c>
      <c r="F26" s="41">
        <f>IF(AND('Plan de tareas'!$H$27&lt;=DATE(2026,9,27),'Plan de tareas'!$I$27&gt;=DATE(2026,9,21)),1,0)</f>
        <v>0</v>
      </c>
      <c r="G26" s="41">
        <f>IF(AND('Plan de tareas'!$H$27&lt;=DATE(2026,10,4),'Plan de tareas'!$I$27&gt;=DATE(2026,9,28)),1,0)</f>
        <v>0</v>
      </c>
      <c r="H26" s="41">
        <f>IF(AND('Plan de tareas'!$H$27&lt;=DATE(2026,10,11),'Plan de tareas'!$I$27&gt;=DATE(2026,10,5)),1,0)</f>
        <v>0</v>
      </c>
      <c r="I26" s="41">
        <f>IF(AND('Plan de tareas'!$H$27&lt;=DATE(2026,10,18),'Plan de tareas'!$I$27&gt;=DATE(2026,10,12)),1,0)</f>
        <v>0</v>
      </c>
      <c r="J26" s="41">
        <f>IF(AND('Plan de tareas'!$H$27&lt;=DATE(2026,10,25),'Plan de tareas'!$I$27&gt;=DATE(2026,10,19)),1,0)</f>
        <v>1</v>
      </c>
      <c r="K26" s="41">
        <f>IF(AND('Plan de tareas'!$H$27&lt;=DATE(2026,11,1),'Plan de tareas'!$I$27&gt;=DATE(2026,10,26)),1,0)</f>
        <v>0</v>
      </c>
      <c r="L26" s="41">
        <f>IF(AND('Plan de tareas'!$H$27&lt;=DATE(2026,11,8),'Plan de tareas'!$I$27&gt;=DATE(2026,11,2)),1,0)</f>
        <v>0</v>
      </c>
      <c r="M26" s="41">
        <f>IF(AND('Plan de tareas'!$H$27&lt;=DATE(2026,11,15),'Plan de tareas'!$I$27&gt;=DATE(2026,11,9)),1,0)</f>
        <v>0</v>
      </c>
      <c r="N26" s="41">
        <f>IF(AND('Plan de tareas'!$H$27&lt;=DATE(2026,11,22),'Plan de tareas'!$I$27&gt;=DATE(2026,11,16)),1,0)</f>
        <v>0</v>
      </c>
      <c r="O26" s="41">
        <f>IF(AND('Plan de tareas'!$H$27&lt;=DATE(2026,11,29),'Plan de tareas'!$I$27&gt;=DATE(2026,11,23)),1,0)</f>
        <v>0</v>
      </c>
      <c r="P26" s="41">
        <f>IF(AND('Plan de tareas'!$H$27&lt;=DATE(2026,12,6),'Plan de tareas'!$I$27&gt;=DATE(2026,11,30)),1,0)</f>
        <v>0</v>
      </c>
      <c r="Q26" s="41">
        <f>IF(AND('Plan de tareas'!$H$27&lt;=DATE(2026,12,13),'Plan de tareas'!$I$27&gt;=DATE(2026,12,7)),1,0)</f>
        <v>0</v>
      </c>
      <c r="R26" s="41">
        <f>IF(AND('Plan de tareas'!$H$27&lt;=DATE(2026,12,20),'Plan de tareas'!$I$27&gt;=DATE(2026,12,14)),1,0)</f>
        <v>0</v>
      </c>
      <c r="S26" s="41">
        <f>IF(AND('Plan de tareas'!$H$27&lt;=DATE(2026,12,27),'Plan de tareas'!$I$27&gt;=DATE(2026,12,21)),1,0)</f>
        <v>0</v>
      </c>
      <c r="T26" s="41">
        <f>IF(AND('Plan de tareas'!$H$27&lt;=DATE(2027,1,3),'Plan de tareas'!$I$27&gt;=DATE(2026,12,28)),1,0)</f>
        <v>0</v>
      </c>
    </row>
    <row r="27" spans="1:20" x14ac:dyDescent="0.25">
      <c r="A27" s="48" t="s">
        <v>87</v>
      </c>
      <c r="B27" s="49" t="s">
        <v>88</v>
      </c>
      <c r="C27" s="50" t="s">
        <v>15</v>
      </c>
      <c r="D27" s="41">
        <f>IF(AND('Plan de tareas'!$H$28&lt;=DATE(2026,9,13),'Plan de tareas'!$I$28&gt;=DATE(2026,9,7)),1,0)</f>
        <v>0</v>
      </c>
      <c r="E27" s="41">
        <f>IF(AND('Plan de tareas'!$H$28&lt;=DATE(2026,9,20),'Plan de tareas'!$I$28&gt;=DATE(2026,9,14)),1,0)</f>
        <v>0</v>
      </c>
      <c r="F27" s="41">
        <f>IF(AND('Plan de tareas'!$H$28&lt;=DATE(2026,9,27),'Plan de tareas'!$I$28&gt;=DATE(2026,9,21)),1,0)</f>
        <v>0</v>
      </c>
      <c r="G27" s="41">
        <f>IF(AND('Plan de tareas'!$H$28&lt;=DATE(2026,10,4),'Plan de tareas'!$I$28&gt;=DATE(2026,9,28)),1,0)</f>
        <v>0</v>
      </c>
      <c r="H27" s="41">
        <f>IF(AND('Plan de tareas'!$H$28&lt;=DATE(2026,10,11),'Plan de tareas'!$I$28&gt;=DATE(2026,10,5)),1,0)</f>
        <v>0</v>
      </c>
      <c r="I27" s="41">
        <f>IF(AND('Plan de tareas'!$H$28&lt;=DATE(2026,10,18),'Plan de tareas'!$I$28&gt;=DATE(2026,10,12)),1,0)</f>
        <v>0</v>
      </c>
      <c r="J27" s="41">
        <f>IF(AND('Plan de tareas'!$H$28&lt;=DATE(2026,10,25),'Plan de tareas'!$I$28&gt;=DATE(2026,10,19)),1,0)</f>
        <v>0</v>
      </c>
      <c r="K27" s="41">
        <f>IF(AND('Plan de tareas'!$H$28&lt;=DATE(2026,11,1),'Plan de tareas'!$I$28&gt;=DATE(2026,10,26)),1,0)</f>
        <v>1</v>
      </c>
      <c r="L27" s="41">
        <f>IF(AND('Plan de tareas'!$H$28&lt;=DATE(2026,11,8),'Plan de tareas'!$I$28&gt;=DATE(2026,11,2)),1,0)</f>
        <v>0</v>
      </c>
      <c r="M27" s="41">
        <f>IF(AND('Plan de tareas'!$H$28&lt;=DATE(2026,11,15),'Plan de tareas'!$I$28&gt;=DATE(2026,11,9)),1,0)</f>
        <v>0</v>
      </c>
      <c r="N27" s="41">
        <f>IF(AND('Plan de tareas'!$H$28&lt;=DATE(2026,11,22),'Plan de tareas'!$I$28&gt;=DATE(2026,11,16)),1,0)</f>
        <v>0</v>
      </c>
      <c r="O27" s="41">
        <f>IF(AND('Plan de tareas'!$H$28&lt;=DATE(2026,11,29),'Plan de tareas'!$I$28&gt;=DATE(2026,11,23)),1,0)</f>
        <v>0</v>
      </c>
      <c r="P27" s="41">
        <f>IF(AND('Plan de tareas'!$H$28&lt;=DATE(2026,12,6),'Plan de tareas'!$I$28&gt;=DATE(2026,11,30)),1,0)</f>
        <v>0</v>
      </c>
      <c r="Q27" s="41">
        <f>IF(AND('Plan de tareas'!$H$28&lt;=DATE(2026,12,13),'Plan de tareas'!$I$28&gt;=DATE(2026,12,7)),1,0)</f>
        <v>0</v>
      </c>
      <c r="R27" s="41">
        <f>IF(AND('Plan de tareas'!$H$28&lt;=DATE(2026,12,20),'Plan de tareas'!$I$28&gt;=DATE(2026,12,14)),1,0)</f>
        <v>0</v>
      </c>
      <c r="S27" s="41">
        <f>IF(AND('Plan de tareas'!$H$28&lt;=DATE(2026,12,27),'Plan de tareas'!$I$28&gt;=DATE(2026,12,21)),1,0)</f>
        <v>0</v>
      </c>
      <c r="T27" s="41">
        <f>IF(AND('Plan de tareas'!$H$28&lt;=DATE(2027,1,3),'Plan de tareas'!$I$28&gt;=DATE(2026,12,28)),1,0)</f>
        <v>0</v>
      </c>
    </row>
    <row r="28" spans="1:20" x14ac:dyDescent="0.25">
      <c r="A28" s="48" t="s">
        <v>90</v>
      </c>
      <c r="B28" s="49" t="s">
        <v>91</v>
      </c>
      <c r="C28" s="50" t="s">
        <v>15</v>
      </c>
      <c r="D28" s="41">
        <f>IF(AND('Plan de tareas'!$H$29&lt;=DATE(2026,9,13),'Plan de tareas'!$I$29&gt;=DATE(2026,9,7)),1,0)</f>
        <v>0</v>
      </c>
      <c r="E28" s="41">
        <f>IF(AND('Plan de tareas'!$H$29&lt;=DATE(2026,9,20),'Plan de tareas'!$I$29&gt;=DATE(2026,9,14)),1,0)</f>
        <v>0</v>
      </c>
      <c r="F28" s="41">
        <f>IF(AND('Plan de tareas'!$H$29&lt;=DATE(2026,9,27),'Plan de tareas'!$I$29&gt;=DATE(2026,9,21)),1,0)</f>
        <v>0</v>
      </c>
      <c r="G28" s="41">
        <f>IF(AND('Plan de tareas'!$H$29&lt;=DATE(2026,10,4),'Plan de tareas'!$I$29&gt;=DATE(2026,9,28)),1,0)</f>
        <v>0</v>
      </c>
      <c r="H28" s="41">
        <f>IF(AND('Plan de tareas'!$H$29&lt;=DATE(2026,10,11),'Plan de tareas'!$I$29&gt;=DATE(2026,10,5)),1,0)</f>
        <v>0</v>
      </c>
      <c r="I28" s="41">
        <f>IF(AND('Plan de tareas'!$H$29&lt;=DATE(2026,10,18),'Plan de tareas'!$I$29&gt;=DATE(2026,10,12)),1,0)</f>
        <v>0</v>
      </c>
      <c r="J28" s="41">
        <f>IF(AND('Plan de tareas'!$H$29&lt;=DATE(2026,10,25),'Plan de tareas'!$I$29&gt;=DATE(2026,10,19)),1,0)</f>
        <v>0</v>
      </c>
      <c r="K28" s="41">
        <f>IF(AND('Plan de tareas'!$H$29&lt;=DATE(2026,11,1),'Plan de tareas'!$I$29&gt;=DATE(2026,10,26)),1,0)</f>
        <v>1</v>
      </c>
      <c r="L28" s="41">
        <f>IF(AND('Plan de tareas'!$H$29&lt;=DATE(2026,11,8),'Plan de tareas'!$I$29&gt;=DATE(2026,11,2)),1,0)</f>
        <v>0</v>
      </c>
      <c r="M28" s="41">
        <f>IF(AND('Plan de tareas'!$H$29&lt;=DATE(2026,11,15),'Plan de tareas'!$I$29&gt;=DATE(2026,11,9)),1,0)</f>
        <v>0</v>
      </c>
      <c r="N28" s="41">
        <f>IF(AND('Plan de tareas'!$H$29&lt;=DATE(2026,11,22),'Plan de tareas'!$I$29&gt;=DATE(2026,11,16)),1,0)</f>
        <v>0</v>
      </c>
      <c r="O28" s="41">
        <f>IF(AND('Plan de tareas'!$H$29&lt;=DATE(2026,11,29),'Plan de tareas'!$I$29&gt;=DATE(2026,11,23)),1,0)</f>
        <v>0</v>
      </c>
      <c r="P28" s="41">
        <f>IF(AND('Plan de tareas'!$H$29&lt;=DATE(2026,12,6),'Plan de tareas'!$I$29&gt;=DATE(2026,11,30)),1,0)</f>
        <v>0</v>
      </c>
      <c r="Q28" s="41">
        <f>IF(AND('Plan de tareas'!$H$29&lt;=DATE(2026,12,13),'Plan de tareas'!$I$29&gt;=DATE(2026,12,7)),1,0)</f>
        <v>0</v>
      </c>
      <c r="R28" s="41">
        <f>IF(AND('Plan de tareas'!$H$29&lt;=DATE(2026,12,20),'Plan de tareas'!$I$29&gt;=DATE(2026,12,14)),1,0)</f>
        <v>0</v>
      </c>
      <c r="S28" s="41">
        <f>IF(AND('Plan de tareas'!$H$29&lt;=DATE(2026,12,27),'Plan de tareas'!$I$29&gt;=DATE(2026,12,21)),1,0)</f>
        <v>0</v>
      </c>
      <c r="T28" s="41">
        <f>IF(AND('Plan de tareas'!$H$29&lt;=DATE(2027,1,3),'Plan de tareas'!$I$29&gt;=DATE(2026,12,28)),1,0)</f>
        <v>0</v>
      </c>
    </row>
    <row r="29" spans="1:20" x14ac:dyDescent="0.25">
      <c r="A29" s="48" t="s">
        <v>93</v>
      </c>
      <c r="B29" s="49" t="s">
        <v>94</v>
      </c>
      <c r="C29" s="50" t="s">
        <v>15</v>
      </c>
      <c r="D29" s="41">
        <f>IF(AND('Plan de tareas'!$H$30&lt;=DATE(2026,9,13),'Plan de tareas'!$I$30&gt;=DATE(2026,9,7)),1,0)</f>
        <v>0</v>
      </c>
      <c r="E29" s="41">
        <f>IF(AND('Plan de tareas'!$H$30&lt;=DATE(2026,9,20),'Plan de tareas'!$I$30&gt;=DATE(2026,9,14)),1,0)</f>
        <v>0</v>
      </c>
      <c r="F29" s="41">
        <f>IF(AND('Plan de tareas'!$H$30&lt;=DATE(2026,9,27),'Plan de tareas'!$I$30&gt;=DATE(2026,9,21)),1,0)</f>
        <v>0</v>
      </c>
      <c r="G29" s="41">
        <f>IF(AND('Plan de tareas'!$H$30&lt;=DATE(2026,10,4),'Plan de tareas'!$I$30&gt;=DATE(2026,9,28)),1,0)</f>
        <v>0</v>
      </c>
      <c r="H29" s="41">
        <f>IF(AND('Plan de tareas'!$H$30&lt;=DATE(2026,10,11),'Plan de tareas'!$I$30&gt;=DATE(2026,10,5)),1,0)</f>
        <v>0</v>
      </c>
      <c r="I29" s="41">
        <f>IF(AND('Plan de tareas'!$H$30&lt;=DATE(2026,10,18),'Plan de tareas'!$I$30&gt;=DATE(2026,10,12)),1,0)</f>
        <v>0</v>
      </c>
      <c r="J29" s="41">
        <f>IF(AND('Plan de tareas'!$H$30&lt;=DATE(2026,10,25),'Plan de tareas'!$I$30&gt;=DATE(2026,10,19)),1,0)</f>
        <v>0</v>
      </c>
      <c r="K29" s="41">
        <f>IF(AND('Plan de tareas'!$H$30&lt;=DATE(2026,11,1),'Plan de tareas'!$I$30&gt;=DATE(2026,10,26)),1,0)</f>
        <v>1</v>
      </c>
      <c r="L29" s="41">
        <f>IF(AND('Plan de tareas'!$H$30&lt;=DATE(2026,11,8),'Plan de tareas'!$I$30&gt;=DATE(2026,11,2)),1,0)</f>
        <v>1</v>
      </c>
      <c r="M29" s="41">
        <f>IF(AND('Plan de tareas'!$H$30&lt;=DATE(2026,11,15),'Plan de tareas'!$I$30&gt;=DATE(2026,11,9)),1,0)</f>
        <v>0</v>
      </c>
      <c r="N29" s="41">
        <f>IF(AND('Plan de tareas'!$H$30&lt;=DATE(2026,11,22),'Plan de tareas'!$I$30&gt;=DATE(2026,11,16)),1,0)</f>
        <v>0</v>
      </c>
      <c r="O29" s="41">
        <f>IF(AND('Plan de tareas'!$H$30&lt;=DATE(2026,11,29),'Plan de tareas'!$I$30&gt;=DATE(2026,11,23)),1,0)</f>
        <v>0</v>
      </c>
      <c r="P29" s="41">
        <f>IF(AND('Plan de tareas'!$H$30&lt;=DATE(2026,12,6),'Plan de tareas'!$I$30&gt;=DATE(2026,11,30)),1,0)</f>
        <v>0</v>
      </c>
      <c r="Q29" s="41">
        <f>IF(AND('Plan de tareas'!$H$30&lt;=DATE(2026,12,13),'Plan de tareas'!$I$30&gt;=DATE(2026,12,7)),1,0)</f>
        <v>0</v>
      </c>
      <c r="R29" s="41">
        <f>IF(AND('Plan de tareas'!$H$30&lt;=DATE(2026,12,20),'Plan de tareas'!$I$30&gt;=DATE(2026,12,14)),1,0)</f>
        <v>0</v>
      </c>
      <c r="S29" s="41">
        <f>IF(AND('Plan de tareas'!$H$30&lt;=DATE(2026,12,27),'Plan de tareas'!$I$30&gt;=DATE(2026,12,21)),1,0)</f>
        <v>0</v>
      </c>
      <c r="T29" s="41">
        <f>IF(AND('Plan de tareas'!$H$30&lt;=DATE(2027,1,3),'Plan de tareas'!$I$30&gt;=DATE(2026,12,28)),1,0)</f>
        <v>0</v>
      </c>
    </row>
    <row r="30" spans="1:20" x14ac:dyDescent="0.25">
      <c r="A30" s="48" t="s">
        <v>95</v>
      </c>
      <c r="B30" s="49" t="s">
        <v>96</v>
      </c>
      <c r="C30" s="50" t="s">
        <v>15</v>
      </c>
      <c r="D30" s="41">
        <f>IF(AND('Plan de tareas'!$H$31&lt;=DATE(2026,9,13),'Plan de tareas'!$I$31&gt;=DATE(2026,9,7)),1,0)</f>
        <v>0</v>
      </c>
      <c r="E30" s="41">
        <f>IF(AND('Plan de tareas'!$H$31&lt;=DATE(2026,9,20),'Plan de tareas'!$I$31&gt;=DATE(2026,9,14)),1,0)</f>
        <v>0</v>
      </c>
      <c r="F30" s="41">
        <f>IF(AND('Plan de tareas'!$H$31&lt;=DATE(2026,9,27),'Plan de tareas'!$I$31&gt;=DATE(2026,9,21)),1,0)</f>
        <v>0</v>
      </c>
      <c r="G30" s="41">
        <f>IF(AND('Plan de tareas'!$H$31&lt;=DATE(2026,10,4),'Plan de tareas'!$I$31&gt;=DATE(2026,9,28)),1,0)</f>
        <v>0</v>
      </c>
      <c r="H30" s="41">
        <f>IF(AND('Plan de tareas'!$H$31&lt;=DATE(2026,10,11),'Plan de tareas'!$I$31&gt;=DATE(2026,10,5)),1,0)</f>
        <v>0</v>
      </c>
      <c r="I30" s="41">
        <f>IF(AND('Plan de tareas'!$H$31&lt;=DATE(2026,10,18),'Plan de tareas'!$I$31&gt;=DATE(2026,10,12)),1,0)</f>
        <v>0</v>
      </c>
      <c r="J30" s="41">
        <f>IF(AND('Plan de tareas'!$H$31&lt;=DATE(2026,10,25),'Plan de tareas'!$I$31&gt;=DATE(2026,10,19)),1,0)</f>
        <v>0</v>
      </c>
      <c r="K30" s="41">
        <f>IF(AND('Plan de tareas'!$H$31&lt;=DATE(2026,11,1),'Plan de tareas'!$I$31&gt;=DATE(2026,10,26)),1,0)</f>
        <v>0</v>
      </c>
      <c r="L30" s="41">
        <f>IF(AND('Plan de tareas'!$H$31&lt;=DATE(2026,11,8),'Plan de tareas'!$I$31&gt;=DATE(2026,11,2)),1,0)</f>
        <v>1</v>
      </c>
      <c r="M30" s="41">
        <f>IF(AND('Plan de tareas'!$H$31&lt;=DATE(2026,11,15),'Plan de tareas'!$I$31&gt;=DATE(2026,11,9)),1,0)</f>
        <v>0</v>
      </c>
      <c r="N30" s="41">
        <f>IF(AND('Plan de tareas'!$H$31&lt;=DATE(2026,11,22),'Plan de tareas'!$I$31&gt;=DATE(2026,11,16)),1,0)</f>
        <v>0</v>
      </c>
      <c r="O30" s="41">
        <f>IF(AND('Plan de tareas'!$H$31&lt;=DATE(2026,11,29),'Plan de tareas'!$I$31&gt;=DATE(2026,11,23)),1,0)</f>
        <v>0</v>
      </c>
      <c r="P30" s="41">
        <f>IF(AND('Plan de tareas'!$H$31&lt;=DATE(2026,12,6),'Plan de tareas'!$I$31&gt;=DATE(2026,11,30)),1,0)</f>
        <v>0</v>
      </c>
      <c r="Q30" s="41">
        <f>IF(AND('Plan de tareas'!$H$31&lt;=DATE(2026,12,13),'Plan de tareas'!$I$31&gt;=DATE(2026,12,7)),1,0)</f>
        <v>0</v>
      </c>
      <c r="R30" s="41">
        <f>IF(AND('Plan de tareas'!$H$31&lt;=DATE(2026,12,20),'Plan de tareas'!$I$31&gt;=DATE(2026,12,14)),1,0)</f>
        <v>0</v>
      </c>
      <c r="S30" s="41">
        <f>IF(AND('Plan de tareas'!$H$31&lt;=DATE(2026,12,27),'Plan de tareas'!$I$31&gt;=DATE(2026,12,21)),1,0)</f>
        <v>0</v>
      </c>
      <c r="T30" s="41">
        <f>IF(AND('Plan de tareas'!$H$31&lt;=DATE(2027,1,3),'Plan de tareas'!$I$31&gt;=DATE(2026,12,28)),1,0)</f>
        <v>0</v>
      </c>
    </row>
    <row r="31" spans="1:20" x14ac:dyDescent="0.25">
      <c r="A31" s="48" t="s">
        <v>97</v>
      </c>
      <c r="B31" s="49" t="s">
        <v>98</v>
      </c>
      <c r="C31" s="50" t="s">
        <v>15</v>
      </c>
      <c r="D31" s="41">
        <f>IF(AND('Plan de tareas'!$H$32&lt;=DATE(2026,9,13),'Plan de tareas'!$I$32&gt;=DATE(2026,9,7)),1,0)</f>
        <v>0</v>
      </c>
      <c r="E31" s="41">
        <f>IF(AND('Plan de tareas'!$H$32&lt;=DATE(2026,9,20),'Plan de tareas'!$I$32&gt;=DATE(2026,9,14)),1,0)</f>
        <v>0</v>
      </c>
      <c r="F31" s="41">
        <f>IF(AND('Plan de tareas'!$H$32&lt;=DATE(2026,9,27),'Plan de tareas'!$I$32&gt;=DATE(2026,9,21)),1,0)</f>
        <v>0</v>
      </c>
      <c r="G31" s="41">
        <f>IF(AND('Plan de tareas'!$H$32&lt;=DATE(2026,10,4),'Plan de tareas'!$I$32&gt;=DATE(2026,9,28)),1,0)</f>
        <v>0</v>
      </c>
      <c r="H31" s="41">
        <f>IF(AND('Plan de tareas'!$H$32&lt;=DATE(2026,10,11),'Plan de tareas'!$I$32&gt;=DATE(2026,10,5)),1,0)</f>
        <v>0</v>
      </c>
      <c r="I31" s="41">
        <f>IF(AND('Plan de tareas'!$H$32&lt;=DATE(2026,10,18),'Plan de tareas'!$I$32&gt;=DATE(2026,10,12)),1,0)</f>
        <v>0</v>
      </c>
      <c r="J31" s="41">
        <f>IF(AND('Plan de tareas'!$H$32&lt;=DATE(2026,10,25),'Plan de tareas'!$I$32&gt;=DATE(2026,10,19)),1,0)</f>
        <v>0</v>
      </c>
      <c r="K31" s="41">
        <f>IF(AND('Plan de tareas'!$H$32&lt;=DATE(2026,11,1),'Plan de tareas'!$I$32&gt;=DATE(2026,10,26)),1,0)</f>
        <v>0</v>
      </c>
      <c r="L31" s="41">
        <f>IF(AND('Plan de tareas'!$H$32&lt;=DATE(2026,11,8),'Plan de tareas'!$I$32&gt;=DATE(2026,11,2)),1,0)</f>
        <v>1</v>
      </c>
      <c r="M31" s="41">
        <f>IF(AND('Plan de tareas'!$H$32&lt;=DATE(2026,11,15),'Plan de tareas'!$I$32&gt;=DATE(2026,11,9)),1,0)</f>
        <v>1</v>
      </c>
      <c r="N31" s="41">
        <f>IF(AND('Plan de tareas'!$H$32&lt;=DATE(2026,11,22),'Plan de tareas'!$I$32&gt;=DATE(2026,11,16)),1,0)</f>
        <v>0</v>
      </c>
      <c r="O31" s="41">
        <f>IF(AND('Plan de tareas'!$H$32&lt;=DATE(2026,11,29),'Plan de tareas'!$I$32&gt;=DATE(2026,11,23)),1,0)</f>
        <v>0</v>
      </c>
      <c r="P31" s="41">
        <f>IF(AND('Plan de tareas'!$H$32&lt;=DATE(2026,12,6),'Plan de tareas'!$I$32&gt;=DATE(2026,11,30)),1,0)</f>
        <v>0</v>
      </c>
      <c r="Q31" s="41">
        <f>IF(AND('Plan de tareas'!$H$32&lt;=DATE(2026,12,13),'Plan de tareas'!$I$32&gt;=DATE(2026,12,7)),1,0)</f>
        <v>0</v>
      </c>
      <c r="R31" s="41">
        <f>IF(AND('Plan de tareas'!$H$32&lt;=DATE(2026,12,20),'Plan de tareas'!$I$32&gt;=DATE(2026,12,14)),1,0)</f>
        <v>0</v>
      </c>
      <c r="S31" s="41">
        <f>IF(AND('Plan de tareas'!$H$32&lt;=DATE(2026,12,27),'Plan de tareas'!$I$32&gt;=DATE(2026,12,21)),1,0)</f>
        <v>0</v>
      </c>
      <c r="T31" s="41">
        <f>IF(AND('Plan de tareas'!$H$32&lt;=DATE(2027,1,3),'Plan de tareas'!$I$32&gt;=DATE(2026,12,28)),1,0)</f>
        <v>0</v>
      </c>
    </row>
    <row r="32" spans="1:20" x14ac:dyDescent="0.25">
      <c r="A32" s="51" t="s">
        <v>101</v>
      </c>
      <c r="B32" s="52" t="s">
        <v>102</v>
      </c>
      <c r="C32" s="53" t="s">
        <v>15</v>
      </c>
      <c r="D32" s="41">
        <f>IF(AND('Plan de tareas'!$H$33&lt;=DATE(2026,9,13),'Plan de tareas'!$I$33&gt;=DATE(2026,9,7)),1,0)</f>
        <v>0</v>
      </c>
      <c r="E32" s="41">
        <f>IF(AND('Plan de tareas'!$H$33&lt;=DATE(2026,9,20),'Plan de tareas'!$I$33&gt;=DATE(2026,9,14)),1,0)</f>
        <v>0</v>
      </c>
      <c r="F32" s="41">
        <f>IF(AND('Plan de tareas'!$H$33&lt;=DATE(2026,9,27),'Plan de tareas'!$I$33&gt;=DATE(2026,9,21)),1,0)</f>
        <v>0</v>
      </c>
      <c r="G32" s="41">
        <f>IF(AND('Plan de tareas'!$H$33&lt;=DATE(2026,10,4),'Plan de tareas'!$I$33&gt;=DATE(2026,9,28)),1,0)</f>
        <v>0</v>
      </c>
      <c r="H32" s="41">
        <f>IF(AND('Plan de tareas'!$H$33&lt;=DATE(2026,10,11),'Plan de tareas'!$I$33&gt;=DATE(2026,10,5)),1,0)</f>
        <v>0</v>
      </c>
      <c r="I32" s="41">
        <f>IF(AND('Plan de tareas'!$H$33&lt;=DATE(2026,10,18),'Plan de tareas'!$I$33&gt;=DATE(2026,10,12)),1,0)</f>
        <v>0</v>
      </c>
      <c r="J32" s="41">
        <f>IF(AND('Plan de tareas'!$H$33&lt;=DATE(2026,10,25),'Plan de tareas'!$I$33&gt;=DATE(2026,10,19)),1,0)</f>
        <v>0</v>
      </c>
      <c r="K32" s="41">
        <f>IF(AND('Plan de tareas'!$H$33&lt;=DATE(2026,11,1),'Plan de tareas'!$I$33&gt;=DATE(2026,10,26)),1,0)</f>
        <v>0</v>
      </c>
      <c r="L32" s="41">
        <f>IF(AND('Plan de tareas'!$H$33&lt;=DATE(2026,11,8),'Plan de tareas'!$I$33&gt;=DATE(2026,11,2)),1,0)</f>
        <v>0</v>
      </c>
      <c r="M32" s="41">
        <f>IF(AND('Plan de tareas'!$H$33&lt;=DATE(2026,11,15),'Plan de tareas'!$I$33&gt;=DATE(2026,11,9)),1,0)</f>
        <v>1</v>
      </c>
      <c r="N32" s="41">
        <f>IF(AND('Plan de tareas'!$H$33&lt;=DATE(2026,11,22),'Plan de tareas'!$I$33&gt;=DATE(2026,11,16)),1,0)</f>
        <v>0</v>
      </c>
      <c r="O32" s="41">
        <f>IF(AND('Plan de tareas'!$H$33&lt;=DATE(2026,11,29),'Plan de tareas'!$I$33&gt;=DATE(2026,11,23)),1,0)</f>
        <v>0</v>
      </c>
      <c r="P32" s="41">
        <f>IF(AND('Plan de tareas'!$H$33&lt;=DATE(2026,12,6),'Plan de tareas'!$I$33&gt;=DATE(2026,11,30)),1,0)</f>
        <v>0</v>
      </c>
      <c r="Q32" s="41">
        <f>IF(AND('Plan de tareas'!$H$33&lt;=DATE(2026,12,13),'Plan de tareas'!$I$33&gt;=DATE(2026,12,7)),1,0)</f>
        <v>0</v>
      </c>
      <c r="R32" s="41">
        <f>IF(AND('Plan de tareas'!$H$33&lt;=DATE(2026,12,20),'Plan de tareas'!$I$33&gt;=DATE(2026,12,14)),1,0)</f>
        <v>0</v>
      </c>
      <c r="S32" s="41">
        <f>IF(AND('Plan de tareas'!$H$33&lt;=DATE(2026,12,27),'Plan de tareas'!$I$33&gt;=DATE(2026,12,21)),1,0)</f>
        <v>0</v>
      </c>
      <c r="T32" s="41">
        <f>IF(AND('Plan de tareas'!$H$33&lt;=DATE(2027,1,3),'Plan de tareas'!$I$33&gt;=DATE(2026,12,28)),1,0)</f>
        <v>0</v>
      </c>
    </row>
    <row r="33" spans="1:20" x14ac:dyDescent="0.25">
      <c r="A33" s="54" t="s">
        <v>106</v>
      </c>
      <c r="B33" s="55" t="s">
        <v>107</v>
      </c>
      <c r="C33" s="56" t="s">
        <v>15</v>
      </c>
      <c r="D33" s="41">
        <f>IF(AND('Plan de tareas'!$H$34&lt;=DATE(2026,9,13),'Plan de tareas'!$I$34&gt;=DATE(2026,9,7)),1,0)</f>
        <v>0</v>
      </c>
      <c r="E33" s="41">
        <f>IF(AND('Plan de tareas'!$H$34&lt;=DATE(2026,9,20),'Plan de tareas'!$I$34&gt;=DATE(2026,9,14)),1,0)</f>
        <v>0</v>
      </c>
      <c r="F33" s="41">
        <f>IF(AND('Plan de tareas'!$H$34&lt;=DATE(2026,9,27),'Plan de tareas'!$I$34&gt;=DATE(2026,9,21)),1,0)</f>
        <v>0</v>
      </c>
      <c r="G33" s="41">
        <f>IF(AND('Plan de tareas'!$H$34&lt;=DATE(2026,10,4),'Plan de tareas'!$I$34&gt;=DATE(2026,9,28)),1,0)</f>
        <v>0</v>
      </c>
      <c r="H33" s="41">
        <f>IF(AND('Plan de tareas'!$H$34&lt;=DATE(2026,10,11),'Plan de tareas'!$I$34&gt;=DATE(2026,10,5)),1,0)</f>
        <v>0</v>
      </c>
      <c r="I33" s="41">
        <f>IF(AND('Plan de tareas'!$H$34&lt;=DATE(2026,10,18),'Plan de tareas'!$I$34&gt;=DATE(2026,10,12)),1,0)</f>
        <v>0</v>
      </c>
      <c r="J33" s="41">
        <f>IF(AND('Plan de tareas'!$H$34&lt;=DATE(2026,10,25),'Plan de tareas'!$I$34&gt;=DATE(2026,10,19)),1,0)</f>
        <v>0</v>
      </c>
      <c r="K33" s="41">
        <f>IF(AND('Plan de tareas'!$H$34&lt;=DATE(2026,11,1),'Plan de tareas'!$I$34&gt;=DATE(2026,10,26)),1,0)</f>
        <v>0</v>
      </c>
      <c r="L33" s="41">
        <f>IF(AND('Plan de tareas'!$H$34&lt;=DATE(2026,11,8),'Plan de tareas'!$I$34&gt;=DATE(2026,11,2)),1,0)</f>
        <v>0</v>
      </c>
      <c r="M33" s="41">
        <f>IF(AND('Plan de tareas'!$H$34&lt;=DATE(2026,11,15),'Plan de tareas'!$I$34&gt;=DATE(2026,11,9)),1,0)</f>
        <v>0</v>
      </c>
      <c r="N33" s="41">
        <f>IF(AND('Plan de tareas'!$H$34&lt;=DATE(2026,11,22),'Plan de tareas'!$I$34&gt;=DATE(2026,11,16)),1,0)</f>
        <v>1</v>
      </c>
      <c r="O33" s="41">
        <f>IF(AND('Plan de tareas'!$H$34&lt;=DATE(2026,11,29),'Plan de tareas'!$I$34&gt;=DATE(2026,11,23)),1,0)</f>
        <v>0</v>
      </c>
      <c r="P33" s="41">
        <f>IF(AND('Plan de tareas'!$H$34&lt;=DATE(2026,12,6),'Plan de tareas'!$I$34&gt;=DATE(2026,11,30)),1,0)</f>
        <v>0</v>
      </c>
      <c r="Q33" s="41">
        <f>IF(AND('Plan de tareas'!$H$34&lt;=DATE(2026,12,13),'Plan de tareas'!$I$34&gt;=DATE(2026,12,7)),1,0)</f>
        <v>0</v>
      </c>
      <c r="R33" s="41">
        <f>IF(AND('Plan de tareas'!$H$34&lt;=DATE(2026,12,20),'Plan de tareas'!$I$34&gt;=DATE(2026,12,14)),1,0)</f>
        <v>0</v>
      </c>
      <c r="S33" s="41">
        <f>IF(AND('Plan de tareas'!$H$34&lt;=DATE(2026,12,27),'Plan de tareas'!$I$34&gt;=DATE(2026,12,21)),1,0)</f>
        <v>0</v>
      </c>
      <c r="T33" s="41">
        <f>IF(AND('Plan de tareas'!$H$34&lt;=DATE(2027,1,3),'Plan de tareas'!$I$34&gt;=DATE(2026,12,28)),1,0)</f>
        <v>0</v>
      </c>
    </row>
    <row r="34" spans="1:20" x14ac:dyDescent="0.25">
      <c r="A34" s="54" t="s">
        <v>111</v>
      </c>
      <c r="B34" s="55" t="s">
        <v>112</v>
      </c>
      <c r="C34" s="56" t="s">
        <v>15</v>
      </c>
      <c r="D34" s="41">
        <f>IF(AND('Plan de tareas'!$H$35&lt;=DATE(2026,9,13),'Plan de tareas'!$I$35&gt;=DATE(2026,9,7)),1,0)</f>
        <v>0</v>
      </c>
      <c r="E34" s="41">
        <f>IF(AND('Plan de tareas'!$H$35&lt;=DATE(2026,9,20),'Plan de tareas'!$I$35&gt;=DATE(2026,9,14)),1,0)</f>
        <v>0</v>
      </c>
      <c r="F34" s="41">
        <f>IF(AND('Plan de tareas'!$H$35&lt;=DATE(2026,9,27),'Plan de tareas'!$I$35&gt;=DATE(2026,9,21)),1,0)</f>
        <v>0</v>
      </c>
      <c r="G34" s="41">
        <f>IF(AND('Plan de tareas'!$H$35&lt;=DATE(2026,10,4),'Plan de tareas'!$I$35&gt;=DATE(2026,9,28)),1,0)</f>
        <v>0</v>
      </c>
      <c r="H34" s="41">
        <f>IF(AND('Plan de tareas'!$H$35&lt;=DATE(2026,10,11),'Plan de tareas'!$I$35&gt;=DATE(2026,10,5)),1,0)</f>
        <v>0</v>
      </c>
      <c r="I34" s="41">
        <f>IF(AND('Plan de tareas'!$H$35&lt;=DATE(2026,10,18),'Plan de tareas'!$I$35&gt;=DATE(2026,10,12)),1,0)</f>
        <v>0</v>
      </c>
      <c r="J34" s="41">
        <f>IF(AND('Plan de tareas'!$H$35&lt;=DATE(2026,10,25),'Plan de tareas'!$I$35&gt;=DATE(2026,10,19)),1,0)</f>
        <v>0</v>
      </c>
      <c r="K34" s="41">
        <f>IF(AND('Plan de tareas'!$H$35&lt;=DATE(2026,11,1),'Plan de tareas'!$I$35&gt;=DATE(2026,10,26)),1,0)</f>
        <v>0</v>
      </c>
      <c r="L34" s="41">
        <f>IF(AND('Plan de tareas'!$H$35&lt;=DATE(2026,11,8),'Plan de tareas'!$I$35&gt;=DATE(2026,11,2)),1,0)</f>
        <v>0</v>
      </c>
      <c r="M34" s="41">
        <f>IF(AND('Plan de tareas'!$H$35&lt;=DATE(2026,11,15),'Plan de tareas'!$I$35&gt;=DATE(2026,11,9)),1,0)</f>
        <v>0</v>
      </c>
      <c r="N34" s="41">
        <f>IF(AND('Plan de tareas'!$H$35&lt;=DATE(2026,11,22),'Plan de tareas'!$I$35&gt;=DATE(2026,11,16)),1,0)</f>
        <v>1</v>
      </c>
      <c r="O34" s="41">
        <f>IF(AND('Plan de tareas'!$H$35&lt;=DATE(2026,11,29),'Plan de tareas'!$I$35&gt;=DATE(2026,11,23)),1,0)</f>
        <v>1</v>
      </c>
      <c r="P34" s="41">
        <f>IF(AND('Plan de tareas'!$H$35&lt;=DATE(2026,12,6),'Plan de tareas'!$I$35&gt;=DATE(2026,11,30)),1,0)</f>
        <v>0</v>
      </c>
      <c r="Q34" s="41">
        <f>IF(AND('Plan de tareas'!$H$35&lt;=DATE(2026,12,13),'Plan de tareas'!$I$35&gt;=DATE(2026,12,7)),1,0)</f>
        <v>0</v>
      </c>
      <c r="R34" s="41">
        <f>IF(AND('Plan de tareas'!$H$35&lt;=DATE(2026,12,20),'Plan de tareas'!$I$35&gt;=DATE(2026,12,14)),1,0)</f>
        <v>0</v>
      </c>
      <c r="S34" s="41">
        <f>IF(AND('Plan de tareas'!$H$35&lt;=DATE(2026,12,27),'Plan de tareas'!$I$35&gt;=DATE(2026,12,21)),1,0)</f>
        <v>0</v>
      </c>
      <c r="T34" s="41">
        <f>IF(AND('Plan de tareas'!$H$35&lt;=DATE(2027,1,3),'Plan de tareas'!$I$35&gt;=DATE(2026,12,28)),1,0)</f>
        <v>0</v>
      </c>
    </row>
    <row r="35" spans="1:20" x14ac:dyDescent="0.25">
      <c r="A35" s="54" t="s">
        <v>115</v>
      </c>
      <c r="B35" s="55" t="s">
        <v>116</v>
      </c>
      <c r="C35" s="56" t="s">
        <v>15</v>
      </c>
      <c r="D35" s="41">
        <f>IF(AND('Plan de tareas'!$H$36&lt;=DATE(2026,9,13),'Plan de tareas'!$I$36&gt;=DATE(2026,9,7)),1,0)</f>
        <v>0</v>
      </c>
      <c r="E35" s="41">
        <f>IF(AND('Plan de tareas'!$H$36&lt;=DATE(2026,9,20),'Plan de tareas'!$I$36&gt;=DATE(2026,9,14)),1,0)</f>
        <v>0</v>
      </c>
      <c r="F35" s="41">
        <f>IF(AND('Plan de tareas'!$H$36&lt;=DATE(2026,9,27),'Plan de tareas'!$I$36&gt;=DATE(2026,9,21)),1,0)</f>
        <v>0</v>
      </c>
      <c r="G35" s="41">
        <f>IF(AND('Plan de tareas'!$H$36&lt;=DATE(2026,10,4),'Plan de tareas'!$I$36&gt;=DATE(2026,9,28)),1,0)</f>
        <v>0</v>
      </c>
      <c r="H35" s="41">
        <f>IF(AND('Plan de tareas'!$H$36&lt;=DATE(2026,10,11),'Plan de tareas'!$I$36&gt;=DATE(2026,10,5)),1,0)</f>
        <v>0</v>
      </c>
      <c r="I35" s="41">
        <f>IF(AND('Plan de tareas'!$H$36&lt;=DATE(2026,10,18),'Plan de tareas'!$I$36&gt;=DATE(2026,10,12)),1,0)</f>
        <v>0</v>
      </c>
      <c r="J35" s="41">
        <f>IF(AND('Plan de tareas'!$H$36&lt;=DATE(2026,10,25),'Plan de tareas'!$I$36&gt;=DATE(2026,10,19)),1,0)</f>
        <v>0</v>
      </c>
      <c r="K35" s="41">
        <f>IF(AND('Plan de tareas'!$H$36&lt;=DATE(2026,11,1),'Plan de tareas'!$I$36&gt;=DATE(2026,10,26)),1,0)</f>
        <v>0</v>
      </c>
      <c r="L35" s="41">
        <f>IF(AND('Plan de tareas'!$H$36&lt;=DATE(2026,11,8),'Plan de tareas'!$I$36&gt;=DATE(2026,11,2)),1,0)</f>
        <v>0</v>
      </c>
      <c r="M35" s="41">
        <f>IF(AND('Plan de tareas'!$H$36&lt;=DATE(2026,11,15),'Plan de tareas'!$I$36&gt;=DATE(2026,11,9)),1,0)</f>
        <v>0</v>
      </c>
      <c r="N35" s="41">
        <f>IF(AND('Plan de tareas'!$H$36&lt;=DATE(2026,11,22),'Plan de tareas'!$I$36&gt;=DATE(2026,11,16)),1,0)</f>
        <v>0</v>
      </c>
      <c r="O35" s="41">
        <f>IF(AND('Plan de tareas'!$H$36&lt;=DATE(2026,11,29),'Plan de tareas'!$I$36&gt;=DATE(2026,11,23)),1,0)</f>
        <v>1</v>
      </c>
      <c r="P35" s="41">
        <f>IF(AND('Plan de tareas'!$H$36&lt;=DATE(2026,12,6),'Plan de tareas'!$I$36&gt;=DATE(2026,11,30)),1,0)</f>
        <v>0</v>
      </c>
      <c r="Q35" s="41">
        <f>IF(AND('Plan de tareas'!$H$36&lt;=DATE(2026,12,13),'Plan de tareas'!$I$36&gt;=DATE(2026,12,7)),1,0)</f>
        <v>0</v>
      </c>
      <c r="R35" s="41">
        <f>IF(AND('Plan de tareas'!$H$36&lt;=DATE(2026,12,20),'Plan de tareas'!$I$36&gt;=DATE(2026,12,14)),1,0)</f>
        <v>0</v>
      </c>
      <c r="S35" s="41">
        <f>IF(AND('Plan de tareas'!$H$36&lt;=DATE(2026,12,27),'Plan de tareas'!$I$36&gt;=DATE(2026,12,21)),1,0)</f>
        <v>0</v>
      </c>
      <c r="T35" s="41">
        <f>IF(AND('Plan de tareas'!$H$36&lt;=DATE(2027,1,3),'Plan de tareas'!$I$36&gt;=DATE(2026,12,28)),1,0)</f>
        <v>0</v>
      </c>
    </row>
    <row r="36" spans="1:20" x14ac:dyDescent="0.25">
      <c r="A36" s="57" t="s">
        <v>119</v>
      </c>
      <c r="B36" s="58" t="s">
        <v>120</v>
      </c>
      <c r="C36" s="59" t="s">
        <v>15</v>
      </c>
      <c r="D36" s="41">
        <f>IF(AND('Plan de tareas'!$H$37&lt;=DATE(2026,9,13),'Plan de tareas'!$I$37&gt;=DATE(2026,9,7)),1,0)</f>
        <v>0</v>
      </c>
      <c r="E36" s="41">
        <f>IF(AND('Plan de tareas'!$H$37&lt;=DATE(2026,9,20),'Plan de tareas'!$I$37&gt;=DATE(2026,9,14)),1,0)</f>
        <v>0</v>
      </c>
      <c r="F36" s="41">
        <f>IF(AND('Plan de tareas'!$H$37&lt;=DATE(2026,9,27),'Plan de tareas'!$I$37&gt;=DATE(2026,9,21)),1,0)</f>
        <v>0</v>
      </c>
      <c r="G36" s="41">
        <f>IF(AND('Plan de tareas'!$H$37&lt;=DATE(2026,10,4),'Plan de tareas'!$I$37&gt;=DATE(2026,9,28)),1,0)</f>
        <v>0</v>
      </c>
      <c r="H36" s="41">
        <f>IF(AND('Plan de tareas'!$H$37&lt;=DATE(2026,10,11),'Plan de tareas'!$I$37&gt;=DATE(2026,10,5)),1,0)</f>
        <v>0</v>
      </c>
      <c r="I36" s="41">
        <f>IF(AND('Plan de tareas'!$H$37&lt;=DATE(2026,10,18),'Plan de tareas'!$I$37&gt;=DATE(2026,10,12)),1,0)</f>
        <v>0</v>
      </c>
      <c r="J36" s="41">
        <f>IF(AND('Plan de tareas'!$H$37&lt;=DATE(2026,10,25),'Plan de tareas'!$I$37&gt;=DATE(2026,10,19)),1,0)</f>
        <v>0</v>
      </c>
      <c r="K36" s="41">
        <f>IF(AND('Plan de tareas'!$H$37&lt;=DATE(2026,11,1),'Plan de tareas'!$I$37&gt;=DATE(2026,10,26)),1,0)</f>
        <v>0</v>
      </c>
      <c r="L36" s="41">
        <f>IF(AND('Plan de tareas'!$H$37&lt;=DATE(2026,11,8),'Plan de tareas'!$I$37&gt;=DATE(2026,11,2)),1,0)</f>
        <v>0</v>
      </c>
      <c r="M36" s="41">
        <f>IF(AND('Plan de tareas'!$H$37&lt;=DATE(2026,11,15),'Plan de tareas'!$I$37&gt;=DATE(2026,11,9)),1,0)</f>
        <v>0</v>
      </c>
      <c r="N36" s="41">
        <f>IF(AND('Plan de tareas'!$H$37&lt;=DATE(2026,11,22),'Plan de tareas'!$I$37&gt;=DATE(2026,11,16)),1,0)</f>
        <v>0</v>
      </c>
      <c r="O36" s="41">
        <f>IF(AND('Plan de tareas'!$H$37&lt;=DATE(2026,11,29),'Plan de tareas'!$I$37&gt;=DATE(2026,11,23)),1,0)</f>
        <v>1</v>
      </c>
      <c r="P36" s="41">
        <f>IF(AND('Plan de tareas'!$H$37&lt;=DATE(2026,12,6),'Plan de tareas'!$I$37&gt;=DATE(2026,11,30)),1,0)</f>
        <v>0</v>
      </c>
      <c r="Q36" s="41">
        <f>IF(AND('Plan de tareas'!$H$37&lt;=DATE(2026,12,13),'Plan de tareas'!$I$37&gt;=DATE(2026,12,7)),1,0)</f>
        <v>0</v>
      </c>
      <c r="R36" s="41">
        <f>IF(AND('Plan de tareas'!$H$37&lt;=DATE(2026,12,20),'Plan de tareas'!$I$37&gt;=DATE(2026,12,14)),1,0)</f>
        <v>0</v>
      </c>
      <c r="S36" s="41">
        <f>IF(AND('Plan de tareas'!$H$37&lt;=DATE(2026,12,27),'Plan de tareas'!$I$37&gt;=DATE(2026,12,21)),1,0)</f>
        <v>0</v>
      </c>
      <c r="T36" s="41">
        <f>IF(AND('Plan de tareas'!$H$37&lt;=DATE(2027,1,3),'Plan de tareas'!$I$37&gt;=DATE(2026,12,28)),1,0)</f>
        <v>0</v>
      </c>
    </row>
    <row r="37" spans="1:20" x14ac:dyDescent="0.25">
      <c r="A37" s="60" t="s">
        <v>124</v>
      </c>
      <c r="B37" s="61" t="s">
        <v>125</v>
      </c>
      <c r="C37" s="62" t="s">
        <v>15</v>
      </c>
      <c r="D37" s="41">
        <f>IF(AND('Plan de tareas'!$H$38&lt;=DATE(2026,9,13),'Plan de tareas'!$I$38&gt;=DATE(2026,9,7)),1,0)</f>
        <v>0</v>
      </c>
      <c r="E37" s="41">
        <f>IF(AND('Plan de tareas'!$H$38&lt;=DATE(2026,9,20),'Plan de tareas'!$I$38&gt;=DATE(2026,9,14)),1,0)</f>
        <v>0</v>
      </c>
      <c r="F37" s="41">
        <f>IF(AND('Plan de tareas'!$H$38&lt;=DATE(2026,9,27),'Plan de tareas'!$I$38&gt;=DATE(2026,9,21)),1,0)</f>
        <v>0</v>
      </c>
      <c r="G37" s="41">
        <f>IF(AND('Plan de tareas'!$H$38&lt;=DATE(2026,10,4),'Plan de tareas'!$I$38&gt;=DATE(2026,9,28)),1,0)</f>
        <v>0</v>
      </c>
      <c r="H37" s="41">
        <f>IF(AND('Plan de tareas'!$H$38&lt;=DATE(2026,10,11),'Plan de tareas'!$I$38&gt;=DATE(2026,10,5)),1,0)</f>
        <v>0</v>
      </c>
      <c r="I37" s="41">
        <f>IF(AND('Plan de tareas'!$H$38&lt;=DATE(2026,10,18),'Plan de tareas'!$I$38&gt;=DATE(2026,10,12)),1,0)</f>
        <v>0</v>
      </c>
      <c r="J37" s="41">
        <f>IF(AND('Plan de tareas'!$H$38&lt;=DATE(2026,10,25),'Plan de tareas'!$I$38&gt;=DATE(2026,10,19)),1,0)</f>
        <v>0</v>
      </c>
      <c r="K37" s="41">
        <f>IF(AND('Plan de tareas'!$H$38&lt;=DATE(2026,11,1),'Plan de tareas'!$I$38&gt;=DATE(2026,10,26)),1,0)</f>
        <v>0</v>
      </c>
      <c r="L37" s="41">
        <f>IF(AND('Plan de tareas'!$H$38&lt;=DATE(2026,11,8),'Plan de tareas'!$I$38&gt;=DATE(2026,11,2)),1,0)</f>
        <v>0</v>
      </c>
      <c r="M37" s="41">
        <f>IF(AND('Plan de tareas'!$H$38&lt;=DATE(2026,11,15),'Plan de tareas'!$I$38&gt;=DATE(2026,11,9)),1,0)</f>
        <v>0</v>
      </c>
      <c r="N37" s="41">
        <f>IF(AND('Plan de tareas'!$H$38&lt;=DATE(2026,11,22),'Plan de tareas'!$I$38&gt;=DATE(2026,11,16)),1,0)</f>
        <v>0</v>
      </c>
      <c r="O37" s="41">
        <f>IF(AND('Plan de tareas'!$H$38&lt;=DATE(2026,11,29),'Plan de tareas'!$I$38&gt;=DATE(2026,11,23)),1,0)</f>
        <v>1</v>
      </c>
      <c r="P37" s="41">
        <f>IF(AND('Plan de tareas'!$H$38&lt;=DATE(2026,12,6),'Plan de tareas'!$I$38&gt;=DATE(2026,11,30)),1,0)</f>
        <v>0</v>
      </c>
      <c r="Q37" s="41">
        <f>IF(AND('Plan de tareas'!$H$38&lt;=DATE(2026,12,13),'Plan de tareas'!$I$38&gt;=DATE(2026,12,7)),1,0)</f>
        <v>0</v>
      </c>
      <c r="R37" s="41">
        <f>IF(AND('Plan de tareas'!$H$38&lt;=DATE(2026,12,20),'Plan de tareas'!$I$38&gt;=DATE(2026,12,14)),1,0)</f>
        <v>0</v>
      </c>
      <c r="S37" s="41">
        <f>IF(AND('Plan de tareas'!$H$38&lt;=DATE(2026,12,27),'Plan de tareas'!$I$38&gt;=DATE(2026,12,21)),1,0)</f>
        <v>0</v>
      </c>
      <c r="T37" s="41">
        <f>IF(AND('Plan de tareas'!$H$38&lt;=DATE(2027,1,3),'Plan de tareas'!$I$38&gt;=DATE(2026,12,28)),1,0)</f>
        <v>0</v>
      </c>
    </row>
    <row r="38" spans="1:20" x14ac:dyDescent="0.25">
      <c r="A38" s="60" t="s">
        <v>128</v>
      </c>
      <c r="B38" s="61" t="s">
        <v>129</v>
      </c>
      <c r="C38" s="63" t="s">
        <v>130</v>
      </c>
      <c r="D38" s="41">
        <f>IF(AND('Plan de tareas'!$H$39&lt;=DATE(2026,9,13),'Plan de tareas'!$I$39&gt;=DATE(2026,9,7)),1,0)</f>
        <v>0</v>
      </c>
      <c r="E38" s="41">
        <f>IF(AND('Plan de tareas'!$H$39&lt;=DATE(2026,9,20),'Plan de tareas'!$I$39&gt;=DATE(2026,9,14)),1,0)</f>
        <v>0</v>
      </c>
      <c r="F38" s="41">
        <f>IF(AND('Plan de tareas'!$H$39&lt;=DATE(2026,9,27),'Plan de tareas'!$I$39&gt;=DATE(2026,9,21)),1,0)</f>
        <v>0</v>
      </c>
      <c r="G38" s="41">
        <f>IF(AND('Plan de tareas'!$H$39&lt;=DATE(2026,10,4),'Plan de tareas'!$I$39&gt;=DATE(2026,9,28)),1,0)</f>
        <v>0</v>
      </c>
      <c r="H38" s="41">
        <f>IF(AND('Plan de tareas'!$H$39&lt;=DATE(2026,10,11),'Plan de tareas'!$I$39&gt;=DATE(2026,10,5)),1,0)</f>
        <v>0</v>
      </c>
      <c r="I38" s="41">
        <f>IF(AND('Plan de tareas'!$H$39&lt;=DATE(2026,10,18),'Plan de tareas'!$I$39&gt;=DATE(2026,10,12)),1,0)</f>
        <v>0</v>
      </c>
      <c r="J38" s="41">
        <f>IF(AND('Plan de tareas'!$H$39&lt;=DATE(2026,10,25),'Plan de tareas'!$I$39&gt;=DATE(2026,10,19)),1,0)</f>
        <v>0</v>
      </c>
      <c r="K38" s="41">
        <f>IF(AND('Plan de tareas'!$H$39&lt;=DATE(2026,11,1),'Plan de tareas'!$I$39&gt;=DATE(2026,10,26)),1,0)</f>
        <v>0</v>
      </c>
      <c r="L38" s="41">
        <f>IF(AND('Plan de tareas'!$H$39&lt;=DATE(2026,11,8),'Plan de tareas'!$I$39&gt;=DATE(2026,11,2)),1,0)</f>
        <v>0</v>
      </c>
      <c r="M38" s="41">
        <f>IF(AND('Plan de tareas'!$H$39&lt;=DATE(2026,11,15),'Plan de tareas'!$I$39&gt;=DATE(2026,11,9)),1,0)</f>
        <v>0</v>
      </c>
      <c r="N38" s="41">
        <f>IF(AND('Plan de tareas'!$H$39&lt;=DATE(2026,11,22),'Plan de tareas'!$I$39&gt;=DATE(2026,11,16)),1,0)</f>
        <v>0</v>
      </c>
      <c r="O38" s="41">
        <f>IF(AND('Plan de tareas'!$H$39&lt;=DATE(2026,11,29),'Plan de tareas'!$I$39&gt;=DATE(2026,11,23)),1,0)</f>
        <v>0</v>
      </c>
      <c r="P38" s="41">
        <f>IF(AND('Plan de tareas'!$H$39&lt;=DATE(2026,12,6),'Plan de tareas'!$I$39&gt;=DATE(2026,11,30)),1,0)</f>
        <v>1</v>
      </c>
      <c r="Q38" s="41">
        <f>IF(AND('Plan de tareas'!$H$39&lt;=DATE(2026,12,13),'Plan de tareas'!$I$39&gt;=DATE(2026,12,7)),1,0)</f>
        <v>0</v>
      </c>
      <c r="R38" s="41">
        <f>IF(AND('Plan de tareas'!$H$39&lt;=DATE(2026,12,20),'Plan de tareas'!$I$39&gt;=DATE(2026,12,14)),1,0)</f>
        <v>0</v>
      </c>
      <c r="S38" s="41">
        <f>IF(AND('Plan de tareas'!$H$39&lt;=DATE(2026,12,27),'Plan de tareas'!$I$39&gt;=DATE(2026,12,21)),1,0)</f>
        <v>0</v>
      </c>
      <c r="T38" s="41">
        <f>IF(AND('Plan de tareas'!$H$39&lt;=DATE(2027,1,3),'Plan de tareas'!$I$39&gt;=DATE(2026,12,28)),1,0)</f>
        <v>0</v>
      </c>
    </row>
    <row r="39" spans="1:20" x14ac:dyDescent="0.25">
      <c r="A39" s="60" t="s">
        <v>133</v>
      </c>
      <c r="B39" s="61" t="s">
        <v>134</v>
      </c>
      <c r="C39" s="63" t="s">
        <v>130</v>
      </c>
      <c r="D39" s="41">
        <f>IF(AND('Plan de tareas'!$H$40&lt;=DATE(2026,9,13),'Plan de tareas'!$I$40&gt;=DATE(2026,9,7)),1,0)</f>
        <v>0</v>
      </c>
      <c r="E39" s="41">
        <f>IF(AND('Plan de tareas'!$H$40&lt;=DATE(2026,9,20),'Plan de tareas'!$I$40&gt;=DATE(2026,9,14)),1,0)</f>
        <v>0</v>
      </c>
      <c r="F39" s="41">
        <f>IF(AND('Plan de tareas'!$H$40&lt;=DATE(2026,9,27),'Plan de tareas'!$I$40&gt;=DATE(2026,9,21)),1,0)</f>
        <v>0</v>
      </c>
      <c r="G39" s="41">
        <f>IF(AND('Plan de tareas'!$H$40&lt;=DATE(2026,10,4),'Plan de tareas'!$I$40&gt;=DATE(2026,9,28)),1,0)</f>
        <v>0</v>
      </c>
      <c r="H39" s="41">
        <f>IF(AND('Plan de tareas'!$H$40&lt;=DATE(2026,10,11),'Plan de tareas'!$I$40&gt;=DATE(2026,10,5)),1,0)</f>
        <v>0</v>
      </c>
      <c r="I39" s="41">
        <f>IF(AND('Plan de tareas'!$H$40&lt;=DATE(2026,10,18),'Plan de tareas'!$I$40&gt;=DATE(2026,10,12)),1,0)</f>
        <v>0</v>
      </c>
      <c r="J39" s="41">
        <f>IF(AND('Plan de tareas'!$H$40&lt;=DATE(2026,10,25),'Plan de tareas'!$I$40&gt;=DATE(2026,10,19)),1,0)</f>
        <v>0</v>
      </c>
      <c r="K39" s="41">
        <f>IF(AND('Plan de tareas'!$H$40&lt;=DATE(2026,11,1),'Plan de tareas'!$I$40&gt;=DATE(2026,10,26)),1,0)</f>
        <v>0</v>
      </c>
      <c r="L39" s="41">
        <f>IF(AND('Plan de tareas'!$H$40&lt;=DATE(2026,11,8),'Plan de tareas'!$I$40&gt;=DATE(2026,11,2)),1,0)</f>
        <v>0</v>
      </c>
      <c r="M39" s="41">
        <f>IF(AND('Plan de tareas'!$H$40&lt;=DATE(2026,11,15),'Plan de tareas'!$I$40&gt;=DATE(2026,11,9)),1,0)</f>
        <v>0</v>
      </c>
      <c r="N39" s="41">
        <f>IF(AND('Plan de tareas'!$H$40&lt;=DATE(2026,11,22),'Plan de tareas'!$I$40&gt;=DATE(2026,11,16)),1,0)</f>
        <v>0</v>
      </c>
      <c r="O39" s="41">
        <f>IF(AND('Plan de tareas'!$H$40&lt;=DATE(2026,11,29),'Plan de tareas'!$I$40&gt;=DATE(2026,11,23)),1,0)</f>
        <v>0</v>
      </c>
      <c r="P39" s="41">
        <f>IF(AND('Plan de tareas'!$H$40&lt;=DATE(2026,12,6),'Plan de tareas'!$I$40&gt;=DATE(2026,11,30)),1,0)</f>
        <v>1</v>
      </c>
      <c r="Q39" s="41">
        <f>IF(AND('Plan de tareas'!$H$40&lt;=DATE(2026,12,13),'Plan de tareas'!$I$40&gt;=DATE(2026,12,7)),1,0)</f>
        <v>0</v>
      </c>
      <c r="R39" s="41">
        <f>IF(AND('Plan de tareas'!$H$40&lt;=DATE(2026,12,20),'Plan de tareas'!$I$40&gt;=DATE(2026,12,14)),1,0)</f>
        <v>0</v>
      </c>
      <c r="S39" s="41">
        <f>IF(AND('Plan de tareas'!$H$40&lt;=DATE(2026,12,27),'Plan de tareas'!$I$40&gt;=DATE(2026,12,21)),1,0)</f>
        <v>0</v>
      </c>
      <c r="T39" s="41">
        <f>IF(AND('Plan de tareas'!$H$40&lt;=DATE(2027,1,3),'Plan de tareas'!$I$40&gt;=DATE(2026,12,28)),1,0)</f>
        <v>0</v>
      </c>
    </row>
    <row r="40" spans="1:20" x14ac:dyDescent="0.25">
      <c r="A40" s="60" t="s">
        <v>136</v>
      </c>
      <c r="B40" s="61" t="s">
        <v>137</v>
      </c>
      <c r="C40" s="63" t="s">
        <v>130</v>
      </c>
      <c r="D40" s="41">
        <f>IF(AND('Plan de tareas'!$H$41&lt;=DATE(2026,9,13),'Plan de tareas'!$I$41&gt;=DATE(2026,9,7)),1,0)</f>
        <v>0</v>
      </c>
      <c r="E40" s="41">
        <f>IF(AND('Plan de tareas'!$H$41&lt;=DATE(2026,9,20),'Plan de tareas'!$I$41&gt;=DATE(2026,9,14)),1,0)</f>
        <v>0</v>
      </c>
      <c r="F40" s="41">
        <f>IF(AND('Plan de tareas'!$H$41&lt;=DATE(2026,9,27),'Plan de tareas'!$I$41&gt;=DATE(2026,9,21)),1,0)</f>
        <v>0</v>
      </c>
      <c r="G40" s="41">
        <f>IF(AND('Plan de tareas'!$H$41&lt;=DATE(2026,10,4),'Plan de tareas'!$I$41&gt;=DATE(2026,9,28)),1,0)</f>
        <v>0</v>
      </c>
      <c r="H40" s="41">
        <f>IF(AND('Plan de tareas'!$H$41&lt;=DATE(2026,10,11),'Plan de tareas'!$I$41&gt;=DATE(2026,10,5)),1,0)</f>
        <v>0</v>
      </c>
      <c r="I40" s="41">
        <f>IF(AND('Plan de tareas'!$H$41&lt;=DATE(2026,10,18),'Plan de tareas'!$I$41&gt;=DATE(2026,10,12)),1,0)</f>
        <v>0</v>
      </c>
      <c r="J40" s="41">
        <f>IF(AND('Plan de tareas'!$H$41&lt;=DATE(2026,10,25),'Plan de tareas'!$I$41&gt;=DATE(2026,10,19)),1,0)</f>
        <v>0</v>
      </c>
      <c r="K40" s="41">
        <f>IF(AND('Plan de tareas'!$H$41&lt;=DATE(2026,11,1),'Plan de tareas'!$I$41&gt;=DATE(2026,10,26)),1,0)</f>
        <v>0</v>
      </c>
      <c r="L40" s="41">
        <f>IF(AND('Plan de tareas'!$H$41&lt;=DATE(2026,11,8),'Plan de tareas'!$I$41&gt;=DATE(2026,11,2)),1,0)</f>
        <v>0</v>
      </c>
      <c r="M40" s="41">
        <f>IF(AND('Plan de tareas'!$H$41&lt;=DATE(2026,11,15),'Plan de tareas'!$I$41&gt;=DATE(2026,11,9)),1,0)</f>
        <v>0</v>
      </c>
      <c r="N40" s="41">
        <f>IF(AND('Plan de tareas'!$H$41&lt;=DATE(2026,11,22),'Plan de tareas'!$I$41&gt;=DATE(2026,11,16)),1,0)</f>
        <v>0</v>
      </c>
      <c r="O40" s="41">
        <f>IF(AND('Plan de tareas'!$H$41&lt;=DATE(2026,11,29),'Plan de tareas'!$I$41&gt;=DATE(2026,11,23)),1,0)</f>
        <v>0</v>
      </c>
      <c r="P40" s="41">
        <f>IF(AND('Plan de tareas'!$H$41&lt;=DATE(2026,12,6),'Plan de tareas'!$I$41&gt;=DATE(2026,11,30)),1,0)</f>
        <v>1</v>
      </c>
      <c r="Q40" s="41">
        <f>IF(AND('Plan de tareas'!$H$41&lt;=DATE(2026,12,13),'Plan de tareas'!$I$41&gt;=DATE(2026,12,7)),1,0)</f>
        <v>0</v>
      </c>
      <c r="R40" s="41">
        <f>IF(AND('Plan de tareas'!$H$41&lt;=DATE(2026,12,20),'Plan de tareas'!$I$41&gt;=DATE(2026,12,14)),1,0)</f>
        <v>0</v>
      </c>
      <c r="S40" s="41">
        <f>IF(AND('Plan de tareas'!$H$41&lt;=DATE(2026,12,27),'Plan de tareas'!$I$41&gt;=DATE(2026,12,21)),1,0)</f>
        <v>0</v>
      </c>
      <c r="T40" s="41">
        <f>IF(AND('Plan de tareas'!$H$41&lt;=DATE(2027,1,3),'Plan de tareas'!$I$41&gt;=DATE(2026,12,28)),1,0)</f>
        <v>0</v>
      </c>
    </row>
    <row r="41" spans="1:20" x14ac:dyDescent="0.25">
      <c r="A41" s="60" t="s">
        <v>139</v>
      </c>
      <c r="B41" s="61" t="s">
        <v>140</v>
      </c>
      <c r="C41" s="63" t="s">
        <v>130</v>
      </c>
      <c r="D41" s="41">
        <f>IF(AND('Plan de tareas'!$H$42&lt;=DATE(2026,9,13),'Plan de tareas'!$I$42&gt;=DATE(2026,9,7)),1,0)</f>
        <v>0</v>
      </c>
      <c r="E41" s="41">
        <f>IF(AND('Plan de tareas'!$H$42&lt;=DATE(2026,9,20),'Plan de tareas'!$I$42&gt;=DATE(2026,9,14)),1,0)</f>
        <v>0</v>
      </c>
      <c r="F41" s="41">
        <f>IF(AND('Plan de tareas'!$H$42&lt;=DATE(2026,9,27),'Plan de tareas'!$I$42&gt;=DATE(2026,9,21)),1,0)</f>
        <v>0</v>
      </c>
      <c r="G41" s="41">
        <f>IF(AND('Plan de tareas'!$H$42&lt;=DATE(2026,10,4),'Plan de tareas'!$I$42&gt;=DATE(2026,9,28)),1,0)</f>
        <v>0</v>
      </c>
      <c r="H41" s="41">
        <f>IF(AND('Plan de tareas'!$H$42&lt;=DATE(2026,10,11),'Plan de tareas'!$I$42&gt;=DATE(2026,10,5)),1,0)</f>
        <v>0</v>
      </c>
      <c r="I41" s="41">
        <f>IF(AND('Plan de tareas'!$H$42&lt;=DATE(2026,10,18),'Plan de tareas'!$I$42&gt;=DATE(2026,10,12)),1,0)</f>
        <v>0</v>
      </c>
      <c r="J41" s="41">
        <f>IF(AND('Plan de tareas'!$H$42&lt;=DATE(2026,10,25),'Plan de tareas'!$I$42&gt;=DATE(2026,10,19)),1,0)</f>
        <v>0</v>
      </c>
      <c r="K41" s="41">
        <f>IF(AND('Plan de tareas'!$H$42&lt;=DATE(2026,11,1),'Plan de tareas'!$I$42&gt;=DATE(2026,10,26)),1,0)</f>
        <v>0</v>
      </c>
      <c r="L41" s="41">
        <f>IF(AND('Plan de tareas'!$H$42&lt;=DATE(2026,11,8),'Plan de tareas'!$I$42&gt;=DATE(2026,11,2)),1,0)</f>
        <v>0</v>
      </c>
      <c r="M41" s="41">
        <f>IF(AND('Plan de tareas'!$H$42&lt;=DATE(2026,11,15),'Plan de tareas'!$I$42&gt;=DATE(2026,11,9)),1,0)</f>
        <v>0</v>
      </c>
      <c r="N41" s="41">
        <f>IF(AND('Plan de tareas'!$H$42&lt;=DATE(2026,11,22),'Plan de tareas'!$I$42&gt;=DATE(2026,11,16)),1,0)</f>
        <v>0</v>
      </c>
      <c r="O41" s="41">
        <f>IF(AND('Plan de tareas'!$H$42&lt;=DATE(2026,11,29),'Plan de tareas'!$I$42&gt;=DATE(2026,11,23)),1,0)</f>
        <v>0</v>
      </c>
      <c r="P41" s="41">
        <f>IF(AND('Plan de tareas'!$H$42&lt;=DATE(2026,12,6),'Plan de tareas'!$I$42&gt;=DATE(2026,11,30)),1,0)</f>
        <v>0</v>
      </c>
      <c r="Q41" s="41">
        <f>IF(AND('Plan de tareas'!$H$42&lt;=DATE(2026,12,13),'Plan de tareas'!$I$42&gt;=DATE(2026,12,7)),1,0)</f>
        <v>1</v>
      </c>
      <c r="R41" s="41">
        <f>IF(AND('Plan de tareas'!$H$42&lt;=DATE(2026,12,20),'Plan de tareas'!$I$42&gt;=DATE(2026,12,14)),1,0)</f>
        <v>0</v>
      </c>
      <c r="S41" s="41">
        <f>IF(AND('Plan de tareas'!$H$42&lt;=DATE(2026,12,27),'Plan de tareas'!$I$42&gt;=DATE(2026,12,21)),1,0)</f>
        <v>0</v>
      </c>
      <c r="T41" s="41">
        <f>IF(AND('Plan de tareas'!$H$42&lt;=DATE(2027,1,3),'Plan de tareas'!$I$42&gt;=DATE(2026,12,28)),1,0)</f>
        <v>0</v>
      </c>
    </row>
    <row r="42" spans="1:20" x14ac:dyDescent="0.25">
      <c r="A42" s="60" t="s">
        <v>142</v>
      </c>
      <c r="B42" s="61" t="s">
        <v>143</v>
      </c>
      <c r="C42" s="63" t="s">
        <v>130</v>
      </c>
      <c r="D42" s="41">
        <f>IF(AND('Plan de tareas'!$H$43&lt;=DATE(2026,9,13),'Plan de tareas'!$I$43&gt;=DATE(2026,9,7)),1,0)</f>
        <v>0</v>
      </c>
      <c r="E42" s="41">
        <f>IF(AND('Plan de tareas'!$H$43&lt;=DATE(2026,9,20),'Plan de tareas'!$I$43&gt;=DATE(2026,9,14)),1,0)</f>
        <v>0</v>
      </c>
      <c r="F42" s="41">
        <f>IF(AND('Plan de tareas'!$H$43&lt;=DATE(2026,9,27),'Plan de tareas'!$I$43&gt;=DATE(2026,9,21)),1,0)</f>
        <v>0</v>
      </c>
      <c r="G42" s="41">
        <f>IF(AND('Plan de tareas'!$H$43&lt;=DATE(2026,10,4),'Plan de tareas'!$I$43&gt;=DATE(2026,9,28)),1,0)</f>
        <v>0</v>
      </c>
      <c r="H42" s="41">
        <f>IF(AND('Plan de tareas'!$H$43&lt;=DATE(2026,10,11),'Plan de tareas'!$I$43&gt;=DATE(2026,10,5)),1,0)</f>
        <v>0</v>
      </c>
      <c r="I42" s="41">
        <f>IF(AND('Plan de tareas'!$H$43&lt;=DATE(2026,10,18),'Plan de tareas'!$I$43&gt;=DATE(2026,10,12)),1,0)</f>
        <v>0</v>
      </c>
      <c r="J42" s="41">
        <f>IF(AND('Plan de tareas'!$H$43&lt;=DATE(2026,10,25),'Plan de tareas'!$I$43&gt;=DATE(2026,10,19)),1,0)</f>
        <v>0</v>
      </c>
      <c r="K42" s="41">
        <f>IF(AND('Plan de tareas'!$H$43&lt;=DATE(2026,11,1),'Plan de tareas'!$I$43&gt;=DATE(2026,10,26)),1,0)</f>
        <v>0</v>
      </c>
      <c r="L42" s="41">
        <f>IF(AND('Plan de tareas'!$H$43&lt;=DATE(2026,11,8),'Plan de tareas'!$I$43&gt;=DATE(2026,11,2)),1,0)</f>
        <v>0</v>
      </c>
      <c r="M42" s="41">
        <f>IF(AND('Plan de tareas'!$H$43&lt;=DATE(2026,11,15),'Plan de tareas'!$I$43&gt;=DATE(2026,11,9)),1,0)</f>
        <v>0</v>
      </c>
      <c r="N42" s="41">
        <f>IF(AND('Plan de tareas'!$H$43&lt;=DATE(2026,11,22),'Plan de tareas'!$I$43&gt;=DATE(2026,11,16)),1,0)</f>
        <v>0</v>
      </c>
      <c r="O42" s="41">
        <f>IF(AND('Plan de tareas'!$H$43&lt;=DATE(2026,11,29),'Plan de tareas'!$I$43&gt;=DATE(2026,11,23)),1,0)</f>
        <v>0</v>
      </c>
      <c r="P42" s="41">
        <f>IF(AND('Plan de tareas'!$H$43&lt;=DATE(2026,12,6),'Plan de tareas'!$I$43&gt;=DATE(2026,11,30)),1,0)</f>
        <v>0</v>
      </c>
      <c r="Q42" s="41">
        <f>IF(AND('Plan de tareas'!$H$43&lt;=DATE(2026,12,13),'Plan de tareas'!$I$43&gt;=DATE(2026,12,7)),1,0)</f>
        <v>1</v>
      </c>
      <c r="R42" s="41">
        <f>IF(AND('Plan de tareas'!$H$43&lt;=DATE(2026,12,20),'Plan de tareas'!$I$43&gt;=DATE(2026,12,14)),1,0)</f>
        <v>0</v>
      </c>
      <c r="S42" s="41">
        <f>IF(AND('Plan de tareas'!$H$43&lt;=DATE(2026,12,27),'Plan de tareas'!$I$43&gt;=DATE(2026,12,21)),1,0)</f>
        <v>0</v>
      </c>
      <c r="T42" s="41">
        <f>IF(AND('Plan de tareas'!$H$43&lt;=DATE(2027,1,3),'Plan de tareas'!$I$43&gt;=DATE(2026,12,28)),1,0)</f>
        <v>0</v>
      </c>
    </row>
    <row r="43" spans="1:20" x14ac:dyDescent="0.25">
      <c r="A43" s="60" t="s">
        <v>145</v>
      </c>
      <c r="B43" s="61" t="s">
        <v>146</v>
      </c>
      <c r="C43" s="63" t="s">
        <v>130</v>
      </c>
      <c r="D43" s="41">
        <f>IF(AND('Plan de tareas'!$H$44&lt;=DATE(2026,9,13),'Plan de tareas'!$I$44&gt;=DATE(2026,9,7)),1,0)</f>
        <v>0</v>
      </c>
      <c r="E43" s="41">
        <f>IF(AND('Plan de tareas'!$H$44&lt;=DATE(2026,9,20),'Plan de tareas'!$I$44&gt;=DATE(2026,9,14)),1,0)</f>
        <v>0</v>
      </c>
      <c r="F43" s="41">
        <f>IF(AND('Plan de tareas'!$H$44&lt;=DATE(2026,9,27),'Plan de tareas'!$I$44&gt;=DATE(2026,9,21)),1,0)</f>
        <v>0</v>
      </c>
      <c r="G43" s="41">
        <f>IF(AND('Plan de tareas'!$H$44&lt;=DATE(2026,10,4),'Plan de tareas'!$I$44&gt;=DATE(2026,9,28)),1,0)</f>
        <v>0</v>
      </c>
      <c r="H43" s="41">
        <f>IF(AND('Plan de tareas'!$H$44&lt;=DATE(2026,10,11),'Plan de tareas'!$I$44&gt;=DATE(2026,10,5)),1,0)</f>
        <v>0</v>
      </c>
      <c r="I43" s="41">
        <f>IF(AND('Plan de tareas'!$H$44&lt;=DATE(2026,10,18),'Plan de tareas'!$I$44&gt;=DATE(2026,10,12)),1,0)</f>
        <v>0</v>
      </c>
      <c r="J43" s="41">
        <f>IF(AND('Plan de tareas'!$H$44&lt;=DATE(2026,10,25),'Plan de tareas'!$I$44&gt;=DATE(2026,10,19)),1,0)</f>
        <v>0</v>
      </c>
      <c r="K43" s="41">
        <f>IF(AND('Plan de tareas'!$H$44&lt;=DATE(2026,11,1),'Plan de tareas'!$I$44&gt;=DATE(2026,10,26)),1,0)</f>
        <v>0</v>
      </c>
      <c r="L43" s="41">
        <f>IF(AND('Plan de tareas'!$H$44&lt;=DATE(2026,11,8),'Plan de tareas'!$I$44&gt;=DATE(2026,11,2)),1,0)</f>
        <v>0</v>
      </c>
      <c r="M43" s="41">
        <f>IF(AND('Plan de tareas'!$H$44&lt;=DATE(2026,11,15),'Plan de tareas'!$I$44&gt;=DATE(2026,11,9)),1,0)</f>
        <v>0</v>
      </c>
      <c r="N43" s="41">
        <f>IF(AND('Plan de tareas'!$H$44&lt;=DATE(2026,11,22),'Plan de tareas'!$I$44&gt;=DATE(2026,11,16)),1,0)</f>
        <v>0</v>
      </c>
      <c r="O43" s="41">
        <f>IF(AND('Plan de tareas'!$H$44&lt;=DATE(2026,11,29),'Plan de tareas'!$I$44&gt;=DATE(2026,11,23)),1,0)</f>
        <v>0</v>
      </c>
      <c r="P43" s="41">
        <f>IF(AND('Plan de tareas'!$H$44&lt;=DATE(2026,12,6),'Plan de tareas'!$I$44&gt;=DATE(2026,11,30)),1,0)</f>
        <v>0</v>
      </c>
      <c r="Q43" s="41">
        <f>IF(AND('Plan de tareas'!$H$44&lt;=DATE(2026,12,13),'Plan de tareas'!$I$44&gt;=DATE(2026,12,7)),1,0)</f>
        <v>1</v>
      </c>
      <c r="R43" s="41">
        <f>IF(AND('Plan de tareas'!$H$44&lt;=DATE(2026,12,20),'Plan de tareas'!$I$44&gt;=DATE(2026,12,14)),1,0)</f>
        <v>0</v>
      </c>
      <c r="S43" s="41">
        <f>IF(AND('Plan de tareas'!$H$44&lt;=DATE(2026,12,27),'Plan de tareas'!$I$44&gt;=DATE(2026,12,21)),1,0)</f>
        <v>0</v>
      </c>
      <c r="T43" s="41">
        <f>IF(AND('Plan de tareas'!$H$44&lt;=DATE(2027,1,3),'Plan de tareas'!$I$44&gt;=DATE(2026,12,28)),1,0)</f>
        <v>0</v>
      </c>
    </row>
    <row r="44" spans="1:20" x14ac:dyDescent="0.25">
      <c r="A44" s="60" t="s">
        <v>148</v>
      </c>
      <c r="B44" s="61" t="s">
        <v>149</v>
      </c>
      <c r="C44" s="63" t="s">
        <v>130</v>
      </c>
      <c r="D44" s="41">
        <f>IF(AND('Plan de tareas'!$H$45&lt;=DATE(2026,9,13),'Plan de tareas'!$I$45&gt;=DATE(2026,9,7)),1,0)</f>
        <v>0</v>
      </c>
      <c r="E44" s="41">
        <f>IF(AND('Plan de tareas'!$H$45&lt;=DATE(2026,9,20),'Plan de tareas'!$I$45&gt;=DATE(2026,9,14)),1,0)</f>
        <v>0</v>
      </c>
      <c r="F44" s="41">
        <f>IF(AND('Plan de tareas'!$H$45&lt;=DATE(2026,9,27),'Plan de tareas'!$I$45&gt;=DATE(2026,9,21)),1,0)</f>
        <v>0</v>
      </c>
      <c r="G44" s="41">
        <f>IF(AND('Plan de tareas'!$H$45&lt;=DATE(2026,10,4),'Plan de tareas'!$I$45&gt;=DATE(2026,9,28)),1,0)</f>
        <v>0</v>
      </c>
      <c r="H44" s="41">
        <f>IF(AND('Plan de tareas'!$H$45&lt;=DATE(2026,10,11),'Plan de tareas'!$I$45&gt;=DATE(2026,10,5)),1,0)</f>
        <v>0</v>
      </c>
      <c r="I44" s="41">
        <f>IF(AND('Plan de tareas'!$H$45&lt;=DATE(2026,10,18),'Plan de tareas'!$I$45&gt;=DATE(2026,10,12)),1,0)</f>
        <v>0</v>
      </c>
      <c r="J44" s="41">
        <f>IF(AND('Plan de tareas'!$H$45&lt;=DATE(2026,10,25),'Plan de tareas'!$I$45&gt;=DATE(2026,10,19)),1,0)</f>
        <v>0</v>
      </c>
      <c r="K44" s="41">
        <f>IF(AND('Plan de tareas'!$H$45&lt;=DATE(2026,11,1),'Plan de tareas'!$I$45&gt;=DATE(2026,10,26)),1,0)</f>
        <v>0</v>
      </c>
      <c r="L44" s="41">
        <f>IF(AND('Plan de tareas'!$H$45&lt;=DATE(2026,11,8),'Plan de tareas'!$I$45&gt;=DATE(2026,11,2)),1,0)</f>
        <v>0</v>
      </c>
      <c r="M44" s="41">
        <f>IF(AND('Plan de tareas'!$H$45&lt;=DATE(2026,11,15),'Plan de tareas'!$I$45&gt;=DATE(2026,11,9)),1,0)</f>
        <v>0</v>
      </c>
      <c r="N44" s="41">
        <f>IF(AND('Plan de tareas'!$H$45&lt;=DATE(2026,11,22),'Plan de tareas'!$I$45&gt;=DATE(2026,11,16)),1,0)</f>
        <v>0</v>
      </c>
      <c r="O44" s="41">
        <f>IF(AND('Plan de tareas'!$H$45&lt;=DATE(2026,11,29),'Plan de tareas'!$I$45&gt;=DATE(2026,11,23)),1,0)</f>
        <v>0</v>
      </c>
      <c r="P44" s="41">
        <f>IF(AND('Plan de tareas'!$H$45&lt;=DATE(2026,12,6),'Plan de tareas'!$I$45&gt;=DATE(2026,11,30)),1,0)</f>
        <v>0</v>
      </c>
      <c r="Q44" s="41">
        <f>IF(AND('Plan de tareas'!$H$45&lt;=DATE(2026,12,13),'Plan de tareas'!$I$45&gt;=DATE(2026,12,7)),1,0)</f>
        <v>0</v>
      </c>
      <c r="R44" s="41">
        <f>IF(AND('Plan de tareas'!$H$45&lt;=DATE(2026,12,20),'Plan de tareas'!$I$45&gt;=DATE(2026,12,14)),1,0)</f>
        <v>1</v>
      </c>
      <c r="S44" s="41">
        <f>IF(AND('Plan de tareas'!$H$45&lt;=DATE(2026,12,27),'Plan de tareas'!$I$45&gt;=DATE(2026,12,21)),1,0)</f>
        <v>0</v>
      </c>
      <c r="T44" s="41">
        <f>IF(AND('Plan de tareas'!$H$45&lt;=DATE(2027,1,3),'Plan de tareas'!$I$45&gt;=DATE(2026,12,28)),1,0)</f>
        <v>0</v>
      </c>
    </row>
    <row r="45" spans="1:20" x14ac:dyDescent="0.25">
      <c r="A45" s="60" t="s">
        <v>151</v>
      </c>
      <c r="B45" s="61" t="s">
        <v>152</v>
      </c>
      <c r="C45" s="63" t="s">
        <v>130</v>
      </c>
      <c r="D45" s="41">
        <f>IF(AND('Plan de tareas'!$H$46&lt;=DATE(2026,9,13),'Plan de tareas'!$I$46&gt;=DATE(2026,9,7)),1,0)</f>
        <v>0</v>
      </c>
      <c r="E45" s="41">
        <f>IF(AND('Plan de tareas'!$H$46&lt;=DATE(2026,9,20),'Plan de tareas'!$I$46&gt;=DATE(2026,9,14)),1,0)</f>
        <v>0</v>
      </c>
      <c r="F45" s="41">
        <f>IF(AND('Plan de tareas'!$H$46&lt;=DATE(2026,9,27),'Plan de tareas'!$I$46&gt;=DATE(2026,9,21)),1,0)</f>
        <v>0</v>
      </c>
      <c r="G45" s="41">
        <f>IF(AND('Plan de tareas'!$H$46&lt;=DATE(2026,10,4),'Plan de tareas'!$I$46&gt;=DATE(2026,9,28)),1,0)</f>
        <v>0</v>
      </c>
      <c r="H45" s="41">
        <f>IF(AND('Plan de tareas'!$H$46&lt;=DATE(2026,10,11),'Plan de tareas'!$I$46&gt;=DATE(2026,10,5)),1,0)</f>
        <v>0</v>
      </c>
      <c r="I45" s="41">
        <f>IF(AND('Plan de tareas'!$H$46&lt;=DATE(2026,10,18),'Plan de tareas'!$I$46&gt;=DATE(2026,10,12)),1,0)</f>
        <v>0</v>
      </c>
      <c r="J45" s="41">
        <f>IF(AND('Plan de tareas'!$H$46&lt;=DATE(2026,10,25),'Plan de tareas'!$I$46&gt;=DATE(2026,10,19)),1,0)</f>
        <v>0</v>
      </c>
      <c r="K45" s="41">
        <f>IF(AND('Plan de tareas'!$H$46&lt;=DATE(2026,11,1),'Plan de tareas'!$I$46&gt;=DATE(2026,10,26)),1,0)</f>
        <v>0</v>
      </c>
      <c r="L45" s="41">
        <f>IF(AND('Plan de tareas'!$H$46&lt;=DATE(2026,11,8),'Plan de tareas'!$I$46&gt;=DATE(2026,11,2)),1,0)</f>
        <v>0</v>
      </c>
      <c r="M45" s="41">
        <f>IF(AND('Plan de tareas'!$H$46&lt;=DATE(2026,11,15),'Plan de tareas'!$I$46&gt;=DATE(2026,11,9)),1,0)</f>
        <v>0</v>
      </c>
      <c r="N45" s="41">
        <f>IF(AND('Plan de tareas'!$H$46&lt;=DATE(2026,11,22),'Plan de tareas'!$I$46&gt;=DATE(2026,11,16)),1,0)</f>
        <v>0</v>
      </c>
      <c r="O45" s="41">
        <f>IF(AND('Plan de tareas'!$H$46&lt;=DATE(2026,11,29),'Plan de tareas'!$I$46&gt;=DATE(2026,11,23)),1,0)</f>
        <v>0</v>
      </c>
      <c r="P45" s="41">
        <f>IF(AND('Plan de tareas'!$H$46&lt;=DATE(2026,12,6),'Plan de tareas'!$I$46&gt;=DATE(2026,11,30)),1,0)</f>
        <v>0</v>
      </c>
      <c r="Q45" s="41">
        <f>IF(AND('Plan de tareas'!$H$46&lt;=DATE(2026,12,13),'Plan de tareas'!$I$46&gt;=DATE(2026,12,7)),1,0)</f>
        <v>0</v>
      </c>
      <c r="R45" s="41">
        <f>IF(AND('Plan de tareas'!$H$46&lt;=DATE(2026,12,20),'Plan de tareas'!$I$46&gt;=DATE(2026,12,14)),1,0)</f>
        <v>1</v>
      </c>
      <c r="S45" s="41">
        <f>IF(AND('Plan de tareas'!$H$46&lt;=DATE(2026,12,27),'Plan de tareas'!$I$46&gt;=DATE(2026,12,21)),1,0)</f>
        <v>0</v>
      </c>
      <c r="T45" s="41">
        <f>IF(AND('Plan de tareas'!$H$46&lt;=DATE(2027,1,3),'Plan de tareas'!$I$46&gt;=DATE(2026,12,28)),1,0)</f>
        <v>0</v>
      </c>
    </row>
    <row r="46" spans="1:20" x14ac:dyDescent="0.25">
      <c r="A46" s="60" t="s">
        <v>154</v>
      </c>
      <c r="B46" s="61" t="s">
        <v>155</v>
      </c>
      <c r="C46" s="63" t="s">
        <v>130</v>
      </c>
      <c r="D46" s="41">
        <f>IF(AND('Plan de tareas'!$H$47&lt;=DATE(2026,9,13),'Plan de tareas'!$I$47&gt;=DATE(2026,9,7)),1,0)</f>
        <v>0</v>
      </c>
      <c r="E46" s="41">
        <f>IF(AND('Plan de tareas'!$H$47&lt;=DATE(2026,9,20),'Plan de tareas'!$I$47&gt;=DATE(2026,9,14)),1,0)</f>
        <v>0</v>
      </c>
      <c r="F46" s="41">
        <f>IF(AND('Plan de tareas'!$H$47&lt;=DATE(2026,9,27),'Plan de tareas'!$I$47&gt;=DATE(2026,9,21)),1,0)</f>
        <v>0</v>
      </c>
      <c r="G46" s="41">
        <f>IF(AND('Plan de tareas'!$H$47&lt;=DATE(2026,10,4),'Plan de tareas'!$I$47&gt;=DATE(2026,9,28)),1,0)</f>
        <v>0</v>
      </c>
      <c r="H46" s="41">
        <f>IF(AND('Plan de tareas'!$H$47&lt;=DATE(2026,10,11),'Plan de tareas'!$I$47&gt;=DATE(2026,10,5)),1,0)</f>
        <v>0</v>
      </c>
      <c r="I46" s="41">
        <f>IF(AND('Plan de tareas'!$H$47&lt;=DATE(2026,10,18),'Plan de tareas'!$I$47&gt;=DATE(2026,10,12)),1,0)</f>
        <v>0</v>
      </c>
      <c r="J46" s="41">
        <f>IF(AND('Plan de tareas'!$H$47&lt;=DATE(2026,10,25),'Plan de tareas'!$I$47&gt;=DATE(2026,10,19)),1,0)</f>
        <v>0</v>
      </c>
      <c r="K46" s="41">
        <f>IF(AND('Plan de tareas'!$H$47&lt;=DATE(2026,11,1),'Plan de tareas'!$I$47&gt;=DATE(2026,10,26)),1,0)</f>
        <v>0</v>
      </c>
      <c r="L46" s="41">
        <f>IF(AND('Plan de tareas'!$H$47&lt;=DATE(2026,11,8),'Plan de tareas'!$I$47&gt;=DATE(2026,11,2)),1,0)</f>
        <v>0</v>
      </c>
      <c r="M46" s="41">
        <f>IF(AND('Plan de tareas'!$H$47&lt;=DATE(2026,11,15),'Plan de tareas'!$I$47&gt;=DATE(2026,11,9)),1,0)</f>
        <v>0</v>
      </c>
      <c r="N46" s="41">
        <f>IF(AND('Plan de tareas'!$H$47&lt;=DATE(2026,11,22),'Plan de tareas'!$I$47&gt;=DATE(2026,11,16)),1,0)</f>
        <v>0</v>
      </c>
      <c r="O46" s="41">
        <f>IF(AND('Plan de tareas'!$H$47&lt;=DATE(2026,11,29),'Plan de tareas'!$I$47&gt;=DATE(2026,11,23)),1,0)</f>
        <v>0</v>
      </c>
      <c r="P46" s="41">
        <f>IF(AND('Plan de tareas'!$H$47&lt;=DATE(2026,12,6),'Plan de tareas'!$I$47&gt;=DATE(2026,11,30)),1,0)</f>
        <v>0</v>
      </c>
      <c r="Q46" s="41">
        <f>IF(AND('Plan de tareas'!$H$47&lt;=DATE(2026,12,13),'Plan de tareas'!$I$47&gt;=DATE(2026,12,7)),1,0)</f>
        <v>0</v>
      </c>
      <c r="R46" s="41">
        <f>IF(AND('Plan de tareas'!$H$47&lt;=DATE(2026,12,20),'Plan de tareas'!$I$47&gt;=DATE(2026,12,14)),1,0)</f>
        <v>1</v>
      </c>
      <c r="S46" s="41">
        <f>IF(AND('Plan de tareas'!$H$47&lt;=DATE(2026,12,27),'Plan de tareas'!$I$47&gt;=DATE(2026,12,21)),1,0)</f>
        <v>0</v>
      </c>
      <c r="T46" s="41">
        <f>IF(AND('Plan de tareas'!$H$47&lt;=DATE(2027,1,3),'Plan de tareas'!$I$47&gt;=DATE(2026,12,28)),1,0)</f>
        <v>0</v>
      </c>
    </row>
    <row r="47" spans="1:20" x14ac:dyDescent="0.25">
      <c r="A47" s="60" t="s">
        <v>157</v>
      </c>
      <c r="B47" s="61" t="s">
        <v>158</v>
      </c>
      <c r="C47" s="63" t="s">
        <v>130</v>
      </c>
      <c r="D47" s="41">
        <f>IF(AND('Plan de tareas'!$H$48&lt;=DATE(2026,9,13),'Plan de tareas'!$I$48&gt;=DATE(2026,9,7)),1,0)</f>
        <v>0</v>
      </c>
      <c r="E47" s="41">
        <f>IF(AND('Plan de tareas'!$H$48&lt;=DATE(2026,9,20),'Plan de tareas'!$I$48&gt;=DATE(2026,9,14)),1,0)</f>
        <v>0</v>
      </c>
      <c r="F47" s="41">
        <f>IF(AND('Plan de tareas'!$H$48&lt;=DATE(2026,9,27),'Plan de tareas'!$I$48&gt;=DATE(2026,9,21)),1,0)</f>
        <v>0</v>
      </c>
      <c r="G47" s="41">
        <f>IF(AND('Plan de tareas'!$H$48&lt;=DATE(2026,10,4),'Plan de tareas'!$I$48&gt;=DATE(2026,9,28)),1,0)</f>
        <v>0</v>
      </c>
      <c r="H47" s="41">
        <f>IF(AND('Plan de tareas'!$H$48&lt;=DATE(2026,10,11),'Plan de tareas'!$I$48&gt;=DATE(2026,10,5)),1,0)</f>
        <v>0</v>
      </c>
      <c r="I47" s="41">
        <f>IF(AND('Plan de tareas'!$H$48&lt;=DATE(2026,10,18),'Plan de tareas'!$I$48&gt;=DATE(2026,10,12)),1,0)</f>
        <v>0</v>
      </c>
      <c r="J47" s="41">
        <f>IF(AND('Plan de tareas'!$H$48&lt;=DATE(2026,10,25),'Plan de tareas'!$I$48&gt;=DATE(2026,10,19)),1,0)</f>
        <v>0</v>
      </c>
      <c r="K47" s="41">
        <f>IF(AND('Plan de tareas'!$H$48&lt;=DATE(2026,11,1),'Plan de tareas'!$I$48&gt;=DATE(2026,10,26)),1,0)</f>
        <v>0</v>
      </c>
      <c r="L47" s="41">
        <f>IF(AND('Plan de tareas'!$H$48&lt;=DATE(2026,11,8),'Plan de tareas'!$I$48&gt;=DATE(2026,11,2)),1,0)</f>
        <v>0</v>
      </c>
      <c r="M47" s="41">
        <f>IF(AND('Plan de tareas'!$H$48&lt;=DATE(2026,11,15),'Plan de tareas'!$I$48&gt;=DATE(2026,11,9)),1,0)</f>
        <v>0</v>
      </c>
      <c r="N47" s="41">
        <f>IF(AND('Plan de tareas'!$H$48&lt;=DATE(2026,11,22),'Plan de tareas'!$I$48&gt;=DATE(2026,11,16)),1,0)</f>
        <v>0</v>
      </c>
      <c r="O47" s="41">
        <f>IF(AND('Plan de tareas'!$H$48&lt;=DATE(2026,11,29),'Plan de tareas'!$I$48&gt;=DATE(2026,11,23)),1,0)</f>
        <v>0</v>
      </c>
      <c r="P47" s="41">
        <f>IF(AND('Plan de tareas'!$H$48&lt;=DATE(2026,12,6),'Plan de tareas'!$I$48&gt;=DATE(2026,11,30)),1,0)</f>
        <v>0</v>
      </c>
      <c r="Q47" s="41">
        <f>IF(AND('Plan de tareas'!$H$48&lt;=DATE(2026,12,13),'Plan de tareas'!$I$48&gt;=DATE(2026,12,7)),1,0)</f>
        <v>0</v>
      </c>
      <c r="R47" s="41">
        <f>IF(AND('Plan de tareas'!$H$48&lt;=DATE(2026,12,20),'Plan de tareas'!$I$48&gt;=DATE(2026,12,14)),1,0)</f>
        <v>0</v>
      </c>
      <c r="S47" s="41">
        <f>IF(AND('Plan de tareas'!$H$48&lt;=DATE(2026,12,27),'Plan de tareas'!$I$48&gt;=DATE(2026,12,21)),1,0)</f>
        <v>1</v>
      </c>
      <c r="T47" s="41">
        <f>IF(AND('Plan de tareas'!$H$48&lt;=DATE(2027,1,3),'Plan de tareas'!$I$48&gt;=DATE(2026,12,28)),1,0)</f>
        <v>0</v>
      </c>
    </row>
    <row r="48" spans="1:20" x14ac:dyDescent="0.25">
      <c r="A48" s="60" t="s">
        <v>160</v>
      </c>
      <c r="B48" s="61" t="s">
        <v>161</v>
      </c>
      <c r="C48" s="63" t="s">
        <v>130</v>
      </c>
      <c r="D48" s="41">
        <f>IF(AND('Plan de tareas'!$H$49&lt;=DATE(2026,9,13),'Plan de tareas'!$I$49&gt;=DATE(2026,9,7)),1,0)</f>
        <v>0</v>
      </c>
      <c r="E48" s="41">
        <f>IF(AND('Plan de tareas'!$H$49&lt;=DATE(2026,9,20),'Plan de tareas'!$I$49&gt;=DATE(2026,9,14)),1,0)</f>
        <v>0</v>
      </c>
      <c r="F48" s="41">
        <f>IF(AND('Plan de tareas'!$H$49&lt;=DATE(2026,9,27),'Plan de tareas'!$I$49&gt;=DATE(2026,9,21)),1,0)</f>
        <v>0</v>
      </c>
      <c r="G48" s="41">
        <f>IF(AND('Plan de tareas'!$H$49&lt;=DATE(2026,10,4),'Plan de tareas'!$I$49&gt;=DATE(2026,9,28)),1,0)</f>
        <v>0</v>
      </c>
      <c r="H48" s="41">
        <f>IF(AND('Plan de tareas'!$H$49&lt;=DATE(2026,10,11),'Plan de tareas'!$I$49&gt;=DATE(2026,10,5)),1,0)</f>
        <v>0</v>
      </c>
      <c r="I48" s="41">
        <f>IF(AND('Plan de tareas'!$H$49&lt;=DATE(2026,10,18),'Plan de tareas'!$I$49&gt;=DATE(2026,10,12)),1,0)</f>
        <v>0</v>
      </c>
      <c r="J48" s="41">
        <f>IF(AND('Plan de tareas'!$H$49&lt;=DATE(2026,10,25),'Plan de tareas'!$I$49&gt;=DATE(2026,10,19)),1,0)</f>
        <v>0</v>
      </c>
      <c r="K48" s="41">
        <f>IF(AND('Plan de tareas'!$H$49&lt;=DATE(2026,11,1),'Plan de tareas'!$I$49&gt;=DATE(2026,10,26)),1,0)</f>
        <v>0</v>
      </c>
      <c r="L48" s="41">
        <f>IF(AND('Plan de tareas'!$H$49&lt;=DATE(2026,11,8),'Plan de tareas'!$I$49&gt;=DATE(2026,11,2)),1,0)</f>
        <v>0</v>
      </c>
      <c r="M48" s="41">
        <f>IF(AND('Plan de tareas'!$H$49&lt;=DATE(2026,11,15),'Plan de tareas'!$I$49&gt;=DATE(2026,11,9)),1,0)</f>
        <v>0</v>
      </c>
      <c r="N48" s="41">
        <f>IF(AND('Plan de tareas'!$H$49&lt;=DATE(2026,11,22),'Plan de tareas'!$I$49&gt;=DATE(2026,11,16)),1,0)</f>
        <v>0</v>
      </c>
      <c r="O48" s="41">
        <f>IF(AND('Plan de tareas'!$H$49&lt;=DATE(2026,11,29),'Plan de tareas'!$I$49&gt;=DATE(2026,11,23)),1,0)</f>
        <v>0</v>
      </c>
      <c r="P48" s="41">
        <f>IF(AND('Plan de tareas'!$H$49&lt;=DATE(2026,12,6),'Plan de tareas'!$I$49&gt;=DATE(2026,11,30)),1,0)</f>
        <v>0</v>
      </c>
      <c r="Q48" s="41">
        <f>IF(AND('Plan de tareas'!$H$49&lt;=DATE(2026,12,13),'Plan de tareas'!$I$49&gt;=DATE(2026,12,7)),1,0)</f>
        <v>0</v>
      </c>
      <c r="R48" s="41">
        <f>IF(AND('Plan de tareas'!$H$49&lt;=DATE(2026,12,20),'Plan de tareas'!$I$49&gt;=DATE(2026,12,14)),1,0)</f>
        <v>0</v>
      </c>
      <c r="S48" s="41">
        <f>IF(AND('Plan de tareas'!$H$49&lt;=DATE(2026,12,27),'Plan de tareas'!$I$49&gt;=DATE(2026,12,21)),1,0)</f>
        <v>1</v>
      </c>
      <c r="T48" s="41">
        <f>IF(AND('Plan de tareas'!$H$49&lt;=DATE(2027,1,3),'Plan de tareas'!$I$49&gt;=DATE(2026,12,28)),1,0)</f>
        <v>0</v>
      </c>
    </row>
    <row r="49" spans="1:20" x14ac:dyDescent="0.25">
      <c r="A49" s="60" t="s">
        <v>163</v>
      </c>
      <c r="B49" s="61" t="s">
        <v>164</v>
      </c>
      <c r="C49" s="63" t="s">
        <v>130</v>
      </c>
      <c r="D49" s="41">
        <f>IF(AND('Plan de tareas'!$H$50&lt;=DATE(2026,9,13),'Plan de tareas'!$I$50&gt;=DATE(2026,9,7)),1,0)</f>
        <v>0</v>
      </c>
      <c r="E49" s="41">
        <f>IF(AND('Plan de tareas'!$H$50&lt;=DATE(2026,9,20),'Plan de tareas'!$I$50&gt;=DATE(2026,9,14)),1,0)</f>
        <v>0</v>
      </c>
      <c r="F49" s="41">
        <f>IF(AND('Plan de tareas'!$H$50&lt;=DATE(2026,9,27),'Plan de tareas'!$I$50&gt;=DATE(2026,9,21)),1,0)</f>
        <v>0</v>
      </c>
      <c r="G49" s="41">
        <f>IF(AND('Plan de tareas'!$H$50&lt;=DATE(2026,10,4),'Plan de tareas'!$I$50&gt;=DATE(2026,9,28)),1,0)</f>
        <v>0</v>
      </c>
      <c r="H49" s="41">
        <f>IF(AND('Plan de tareas'!$H$50&lt;=DATE(2026,10,11),'Plan de tareas'!$I$50&gt;=DATE(2026,10,5)),1,0)</f>
        <v>0</v>
      </c>
      <c r="I49" s="41">
        <f>IF(AND('Plan de tareas'!$H$50&lt;=DATE(2026,10,18),'Plan de tareas'!$I$50&gt;=DATE(2026,10,12)),1,0)</f>
        <v>0</v>
      </c>
      <c r="J49" s="41">
        <f>IF(AND('Plan de tareas'!$H$50&lt;=DATE(2026,10,25),'Plan de tareas'!$I$50&gt;=DATE(2026,10,19)),1,0)</f>
        <v>0</v>
      </c>
      <c r="K49" s="41">
        <f>IF(AND('Plan de tareas'!$H$50&lt;=DATE(2026,11,1),'Plan de tareas'!$I$50&gt;=DATE(2026,10,26)),1,0)</f>
        <v>0</v>
      </c>
      <c r="L49" s="41">
        <f>IF(AND('Plan de tareas'!$H$50&lt;=DATE(2026,11,8),'Plan de tareas'!$I$50&gt;=DATE(2026,11,2)),1,0)</f>
        <v>0</v>
      </c>
      <c r="M49" s="41">
        <f>IF(AND('Plan de tareas'!$H$50&lt;=DATE(2026,11,15),'Plan de tareas'!$I$50&gt;=DATE(2026,11,9)),1,0)</f>
        <v>0</v>
      </c>
      <c r="N49" s="41">
        <f>IF(AND('Plan de tareas'!$H$50&lt;=DATE(2026,11,22),'Plan de tareas'!$I$50&gt;=DATE(2026,11,16)),1,0)</f>
        <v>0</v>
      </c>
      <c r="O49" s="41">
        <f>IF(AND('Plan de tareas'!$H$50&lt;=DATE(2026,11,29),'Plan de tareas'!$I$50&gt;=DATE(2026,11,23)),1,0)</f>
        <v>0</v>
      </c>
      <c r="P49" s="41">
        <f>IF(AND('Plan de tareas'!$H$50&lt;=DATE(2026,12,6),'Plan de tareas'!$I$50&gt;=DATE(2026,11,30)),1,0)</f>
        <v>0</v>
      </c>
      <c r="Q49" s="41">
        <f>IF(AND('Plan de tareas'!$H$50&lt;=DATE(2026,12,13),'Plan de tareas'!$I$50&gt;=DATE(2026,12,7)),1,0)</f>
        <v>0</v>
      </c>
      <c r="R49" s="41">
        <f>IF(AND('Plan de tareas'!$H$50&lt;=DATE(2026,12,20),'Plan de tareas'!$I$50&gt;=DATE(2026,12,14)),1,0)</f>
        <v>0</v>
      </c>
      <c r="S49" s="41">
        <f>IF(AND('Plan de tareas'!$H$50&lt;=DATE(2026,12,27),'Plan de tareas'!$I$50&gt;=DATE(2026,12,21)),1,0)</f>
        <v>1</v>
      </c>
      <c r="T49" s="41">
        <f>IF(AND('Plan de tareas'!$H$50&lt;=DATE(2027,1,3),'Plan de tareas'!$I$50&gt;=DATE(2026,12,28)),1,0)</f>
        <v>0</v>
      </c>
    </row>
    <row r="50" spans="1:20" x14ac:dyDescent="0.25">
      <c r="A50" s="60" t="s">
        <v>166</v>
      </c>
      <c r="B50" s="61" t="s">
        <v>167</v>
      </c>
      <c r="C50" s="63" t="s">
        <v>130</v>
      </c>
      <c r="D50" s="41">
        <f>IF(AND('Plan de tareas'!$H$51&lt;=DATE(2026,9,13),'Plan de tareas'!$I$51&gt;=DATE(2026,9,7)),1,0)</f>
        <v>0</v>
      </c>
      <c r="E50" s="41">
        <f>IF(AND('Plan de tareas'!$H$51&lt;=DATE(2026,9,20),'Plan de tareas'!$I$51&gt;=DATE(2026,9,14)),1,0)</f>
        <v>0</v>
      </c>
      <c r="F50" s="41">
        <f>IF(AND('Plan de tareas'!$H$51&lt;=DATE(2026,9,27),'Plan de tareas'!$I$51&gt;=DATE(2026,9,21)),1,0)</f>
        <v>0</v>
      </c>
      <c r="G50" s="41">
        <f>IF(AND('Plan de tareas'!$H$51&lt;=DATE(2026,10,4),'Plan de tareas'!$I$51&gt;=DATE(2026,9,28)),1,0)</f>
        <v>0</v>
      </c>
      <c r="H50" s="41">
        <f>IF(AND('Plan de tareas'!$H$51&lt;=DATE(2026,10,11),'Plan de tareas'!$I$51&gt;=DATE(2026,10,5)),1,0)</f>
        <v>0</v>
      </c>
      <c r="I50" s="41">
        <f>IF(AND('Plan de tareas'!$H$51&lt;=DATE(2026,10,18),'Plan de tareas'!$I$51&gt;=DATE(2026,10,12)),1,0)</f>
        <v>0</v>
      </c>
      <c r="J50" s="41">
        <f>IF(AND('Plan de tareas'!$H$51&lt;=DATE(2026,10,25),'Plan de tareas'!$I$51&gt;=DATE(2026,10,19)),1,0)</f>
        <v>0</v>
      </c>
      <c r="K50" s="41">
        <f>IF(AND('Plan de tareas'!$H$51&lt;=DATE(2026,11,1),'Plan de tareas'!$I$51&gt;=DATE(2026,10,26)),1,0)</f>
        <v>0</v>
      </c>
      <c r="L50" s="41">
        <f>IF(AND('Plan de tareas'!$H$51&lt;=DATE(2026,11,8),'Plan de tareas'!$I$51&gt;=DATE(2026,11,2)),1,0)</f>
        <v>0</v>
      </c>
      <c r="M50" s="41">
        <f>IF(AND('Plan de tareas'!$H$51&lt;=DATE(2026,11,15),'Plan de tareas'!$I$51&gt;=DATE(2026,11,9)),1,0)</f>
        <v>0</v>
      </c>
      <c r="N50" s="41">
        <f>IF(AND('Plan de tareas'!$H$51&lt;=DATE(2026,11,22),'Plan de tareas'!$I$51&gt;=DATE(2026,11,16)),1,0)</f>
        <v>0</v>
      </c>
      <c r="O50" s="41">
        <f>IF(AND('Plan de tareas'!$H$51&lt;=DATE(2026,11,29),'Plan de tareas'!$I$51&gt;=DATE(2026,11,23)),1,0)</f>
        <v>0</v>
      </c>
      <c r="P50" s="41">
        <f>IF(AND('Plan de tareas'!$H$51&lt;=DATE(2026,12,6),'Plan de tareas'!$I$51&gt;=DATE(2026,11,30)),1,0)</f>
        <v>0</v>
      </c>
      <c r="Q50" s="41">
        <f>IF(AND('Plan de tareas'!$H$51&lt;=DATE(2026,12,13),'Plan de tareas'!$I$51&gt;=DATE(2026,12,7)),1,0)</f>
        <v>0</v>
      </c>
      <c r="R50" s="41">
        <f>IF(AND('Plan de tareas'!$H$51&lt;=DATE(2026,12,20),'Plan de tareas'!$I$51&gt;=DATE(2026,12,14)),1,0)</f>
        <v>0</v>
      </c>
      <c r="S50" s="41">
        <f>IF(AND('Plan de tareas'!$H$51&lt;=DATE(2026,12,27),'Plan de tareas'!$I$51&gt;=DATE(2026,12,21)),1,0)</f>
        <v>1</v>
      </c>
      <c r="T50" s="41">
        <f>IF(AND('Plan de tareas'!$H$51&lt;=DATE(2027,1,3),'Plan de tareas'!$I$51&gt;=DATE(2026,12,28)),1,0)</f>
        <v>0</v>
      </c>
    </row>
    <row r="51" spans="1:20" x14ac:dyDescent="0.25">
      <c r="A51" s="60" t="s">
        <v>169</v>
      </c>
      <c r="B51" s="61" t="s">
        <v>170</v>
      </c>
      <c r="C51" s="63" t="s">
        <v>130</v>
      </c>
      <c r="D51" s="41">
        <f>IF(AND('Plan de tareas'!$H$52&lt;=DATE(2026,9,13),'Plan de tareas'!$I$52&gt;=DATE(2026,9,7)),1,0)</f>
        <v>0</v>
      </c>
      <c r="E51" s="41">
        <f>IF(AND('Plan de tareas'!$H$52&lt;=DATE(2026,9,20),'Plan de tareas'!$I$52&gt;=DATE(2026,9,14)),1,0)</f>
        <v>0</v>
      </c>
      <c r="F51" s="41">
        <f>IF(AND('Plan de tareas'!$H$52&lt;=DATE(2026,9,27),'Plan de tareas'!$I$52&gt;=DATE(2026,9,21)),1,0)</f>
        <v>0</v>
      </c>
      <c r="G51" s="41">
        <f>IF(AND('Plan de tareas'!$H$52&lt;=DATE(2026,10,4),'Plan de tareas'!$I$52&gt;=DATE(2026,9,28)),1,0)</f>
        <v>0</v>
      </c>
      <c r="H51" s="41">
        <f>IF(AND('Plan de tareas'!$H$52&lt;=DATE(2026,10,11),'Plan de tareas'!$I$52&gt;=DATE(2026,10,5)),1,0)</f>
        <v>0</v>
      </c>
      <c r="I51" s="41">
        <f>IF(AND('Plan de tareas'!$H$52&lt;=DATE(2026,10,18),'Plan de tareas'!$I$52&gt;=DATE(2026,10,12)),1,0)</f>
        <v>0</v>
      </c>
      <c r="J51" s="41">
        <f>IF(AND('Plan de tareas'!$H$52&lt;=DATE(2026,10,25),'Plan de tareas'!$I$52&gt;=DATE(2026,10,19)),1,0)</f>
        <v>0</v>
      </c>
      <c r="K51" s="41">
        <f>IF(AND('Plan de tareas'!$H$52&lt;=DATE(2026,11,1),'Plan de tareas'!$I$52&gt;=DATE(2026,10,26)),1,0)</f>
        <v>0</v>
      </c>
      <c r="L51" s="41">
        <f>IF(AND('Plan de tareas'!$H$52&lt;=DATE(2026,11,8),'Plan de tareas'!$I$52&gt;=DATE(2026,11,2)),1,0)</f>
        <v>0</v>
      </c>
      <c r="M51" s="41">
        <f>IF(AND('Plan de tareas'!$H$52&lt;=DATE(2026,11,15),'Plan de tareas'!$I$52&gt;=DATE(2026,11,9)),1,0)</f>
        <v>0</v>
      </c>
      <c r="N51" s="41">
        <f>IF(AND('Plan de tareas'!$H$52&lt;=DATE(2026,11,22),'Plan de tareas'!$I$52&gt;=DATE(2026,11,16)),1,0)</f>
        <v>0</v>
      </c>
      <c r="O51" s="41">
        <f>IF(AND('Plan de tareas'!$H$52&lt;=DATE(2026,11,29),'Plan de tareas'!$I$52&gt;=DATE(2026,11,23)),1,0)</f>
        <v>0</v>
      </c>
      <c r="P51" s="41">
        <f>IF(AND('Plan de tareas'!$H$52&lt;=DATE(2026,12,6),'Plan de tareas'!$I$52&gt;=DATE(2026,11,30)),1,0)</f>
        <v>0</v>
      </c>
      <c r="Q51" s="41">
        <f>IF(AND('Plan de tareas'!$H$52&lt;=DATE(2026,12,13),'Plan de tareas'!$I$52&gt;=DATE(2026,12,7)),1,0)</f>
        <v>0</v>
      </c>
      <c r="R51" s="41">
        <f>IF(AND('Plan de tareas'!$H$52&lt;=DATE(2026,12,20),'Plan de tareas'!$I$52&gt;=DATE(2026,12,14)),1,0)</f>
        <v>0</v>
      </c>
      <c r="S51" s="41">
        <f>IF(AND('Plan de tareas'!$H$52&lt;=DATE(2026,12,27),'Plan de tareas'!$I$52&gt;=DATE(2026,12,21)),1,0)</f>
        <v>0</v>
      </c>
      <c r="T51" s="41">
        <f>IF(AND('Plan de tareas'!$H$52&lt;=DATE(2027,1,3),'Plan de tareas'!$I$52&gt;=DATE(2026,12,28)),1,0)</f>
        <v>1</v>
      </c>
    </row>
    <row r="54" spans="1:20" x14ac:dyDescent="0.25">
      <c r="A54" s="35" t="s">
        <v>177</v>
      </c>
    </row>
    <row r="55" spans="1:20" x14ac:dyDescent="0.25">
      <c r="A55" s="64" t="s">
        <v>15</v>
      </c>
    </row>
    <row r="56" spans="1:20" x14ac:dyDescent="0.25">
      <c r="A56" s="65" t="s">
        <v>130</v>
      </c>
    </row>
    <row r="58" spans="1:20" ht="32.799999999999997" customHeight="1" x14ac:dyDescent="0.25">
      <c r="A58" s="1" t="s">
        <v>178</v>
      </c>
      <c r="B58" s="1"/>
      <c r="C58" s="1"/>
      <c r="D58" s="1"/>
      <c r="E58" s="1"/>
      <c r="F58" s="1"/>
    </row>
  </sheetData>
  <mergeCells count="1">
    <mergeCell ref="A58:F58"/>
  </mergeCells>
  <conditionalFormatting sqref="D4:T37">
    <cfRule type="expression" dxfId="1" priority="2">
      <formula>D4=1</formula>
    </cfRule>
  </conditionalFormatting>
  <conditionalFormatting sqref="D38:T51">
    <cfRule type="expression" dxfId="0" priority="36">
      <formula>D38=1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&amp;L_x000D_&amp;1#&amp;"Aptos"&amp;10&amp;K000000 Sensitivity: C1-Internal</oddFooter>
  </headerFooter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tareas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Manuel GUTIERREZ ALEMANY</cp:lastModifiedBy>
  <cp:revision>0</cp:revision>
  <dcterms:created xsi:type="dcterms:W3CDTF">2026-09-01T10:47:53Z</dcterms:created>
  <dcterms:modified xsi:type="dcterms:W3CDTF">2026-09-01T10:56:35Z</dcterms:modified>
  <dc:language>en-US</dc:language>
</cp:coreProperties>
</file>